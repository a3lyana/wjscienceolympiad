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\Desktop\"/>
    </mc:Choice>
  </mc:AlternateContent>
  <bookViews>
    <workbookView xWindow="0" yWindow="0" windowWidth="23040" windowHeight="9192"/>
  </bookViews>
  <sheets>
    <sheet name="Battery Buggy B, 2018" sheetId="1" r:id="rId1"/>
  </sheets>
  <definedNames>
    <definedName name="_xlnm.Print_Area" localSheetId="0">'Battery Buggy B, 2018'!$B$2:$BK$108</definedName>
    <definedName name="_xlnm.Print_Titles" localSheetId="0">'Battery Buggy B, 2018'!$B:$D,'Battery Buggy B, 2018'!$2:$4</definedName>
  </definedNames>
  <calcPr calcId="162913"/>
</workbook>
</file>

<file path=xl/calcChain.xml><?xml version="1.0" encoding="utf-8"?>
<calcChain xmlns="http://schemas.openxmlformats.org/spreadsheetml/2006/main">
  <c r="AA10" i="1" l="1"/>
  <c r="AC10" i="1" s="1"/>
  <c r="AG10" i="1"/>
  <c r="AI10" i="1" s="1"/>
  <c r="AB10" i="1"/>
  <c r="AD10" i="1"/>
  <c r="AE10" i="1"/>
  <c r="AH10" i="1"/>
  <c r="AJ10" i="1"/>
  <c r="AK10" i="1"/>
  <c r="AF10" i="1"/>
  <c r="Z9" i="1"/>
  <c r="Z10" i="1"/>
  <c r="Z11" i="1"/>
  <c r="Z12" i="1"/>
  <c r="Z13" i="1"/>
  <c r="AA11" i="1"/>
  <c r="AG11" i="1"/>
  <c r="AH11" i="1" s="1"/>
  <c r="AA12" i="1"/>
  <c r="AD12" i="1" s="1"/>
  <c r="AG12" i="1"/>
  <c r="AA9" i="1"/>
  <c r="AD9" i="1" s="1"/>
  <c r="AG9" i="1"/>
  <c r="AH9" i="1" s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E69" i="1"/>
  <c r="BF69" i="1"/>
  <c r="BG69" i="1"/>
  <c r="BH69" i="1"/>
  <c r="BE70" i="1"/>
  <c r="BF70" i="1"/>
  <c r="BG70" i="1"/>
  <c r="BH70" i="1"/>
  <c r="BE71" i="1"/>
  <c r="BF71" i="1"/>
  <c r="BG71" i="1"/>
  <c r="BH71" i="1"/>
  <c r="BE72" i="1"/>
  <c r="BF72" i="1"/>
  <c r="BG72" i="1"/>
  <c r="BH72" i="1"/>
  <c r="BE73" i="1"/>
  <c r="BF73" i="1"/>
  <c r="BG73" i="1"/>
  <c r="BH73" i="1"/>
  <c r="BE74" i="1"/>
  <c r="BF74" i="1"/>
  <c r="BG74" i="1"/>
  <c r="BH74" i="1"/>
  <c r="BE75" i="1"/>
  <c r="BF75" i="1"/>
  <c r="BG75" i="1"/>
  <c r="BH75" i="1"/>
  <c r="BE76" i="1"/>
  <c r="BF76" i="1"/>
  <c r="BG76" i="1"/>
  <c r="BH76" i="1"/>
  <c r="BE77" i="1"/>
  <c r="BF77" i="1"/>
  <c r="BG77" i="1"/>
  <c r="BH77" i="1"/>
  <c r="BE78" i="1"/>
  <c r="BF78" i="1"/>
  <c r="BG78" i="1"/>
  <c r="BH78" i="1"/>
  <c r="BE79" i="1"/>
  <c r="BF79" i="1"/>
  <c r="BG79" i="1"/>
  <c r="BH79" i="1"/>
  <c r="BE80" i="1"/>
  <c r="BF80" i="1"/>
  <c r="BG80" i="1"/>
  <c r="BH80" i="1"/>
  <c r="BE81" i="1"/>
  <c r="BF81" i="1"/>
  <c r="BG81" i="1"/>
  <c r="BH81" i="1"/>
  <c r="BE82" i="1"/>
  <c r="BF82" i="1"/>
  <c r="BG82" i="1"/>
  <c r="BH82" i="1"/>
  <c r="BE83" i="1"/>
  <c r="BF83" i="1"/>
  <c r="BG83" i="1"/>
  <c r="BH83" i="1"/>
  <c r="BE84" i="1"/>
  <c r="BF84" i="1"/>
  <c r="BG84" i="1"/>
  <c r="BH84" i="1"/>
  <c r="BE85" i="1"/>
  <c r="BF85" i="1"/>
  <c r="BG85" i="1"/>
  <c r="BH85" i="1"/>
  <c r="BE86" i="1"/>
  <c r="BF86" i="1"/>
  <c r="BG86" i="1"/>
  <c r="BH86" i="1"/>
  <c r="BE87" i="1"/>
  <c r="BF87" i="1"/>
  <c r="BG87" i="1"/>
  <c r="BH87" i="1"/>
  <c r="BE88" i="1"/>
  <c r="BF88" i="1"/>
  <c r="BG88" i="1"/>
  <c r="BH88" i="1"/>
  <c r="BE89" i="1"/>
  <c r="BF89" i="1"/>
  <c r="BG89" i="1"/>
  <c r="BH89" i="1"/>
  <c r="BE90" i="1"/>
  <c r="BF90" i="1"/>
  <c r="BG90" i="1"/>
  <c r="BH90" i="1"/>
  <c r="BE91" i="1"/>
  <c r="BF91" i="1"/>
  <c r="BG91" i="1"/>
  <c r="BH91" i="1"/>
  <c r="BE92" i="1"/>
  <c r="BF92" i="1"/>
  <c r="BG92" i="1"/>
  <c r="BH92" i="1"/>
  <c r="BE93" i="1"/>
  <c r="BF93" i="1"/>
  <c r="BG93" i="1"/>
  <c r="BH93" i="1"/>
  <c r="BE94" i="1"/>
  <c r="BF94" i="1"/>
  <c r="BG94" i="1"/>
  <c r="BH94" i="1"/>
  <c r="BE95" i="1"/>
  <c r="BF95" i="1"/>
  <c r="BG95" i="1"/>
  <c r="BH95" i="1"/>
  <c r="BE96" i="1"/>
  <c r="BF96" i="1"/>
  <c r="BG96" i="1"/>
  <c r="BH96" i="1"/>
  <c r="BE97" i="1"/>
  <c r="BF97" i="1"/>
  <c r="BG97" i="1"/>
  <c r="BH97" i="1"/>
  <c r="BE98" i="1"/>
  <c r="BF98" i="1"/>
  <c r="BG98" i="1"/>
  <c r="BH98" i="1"/>
  <c r="BE99" i="1"/>
  <c r="BF99" i="1"/>
  <c r="BG99" i="1"/>
  <c r="BH99" i="1"/>
  <c r="BE100" i="1"/>
  <c r="BF100" i="1"/>
  <c r="BG100" i="1"/>
  <c r="BH100" i="1"/>
  <c r="BE101" i="1"/>
  <c r="BF101" i="1"/>
  <c r="BG101" i="1"/>
  <c r="BH101" i="1"/>
  <c r="BE102" i="1"/>
  <c r="BF102" i="1"/>
  <c r="BG102" i="1"/>
  <c r="BH102" i="1"/>
  <c r="BE103" i="1"/>
  <c r="BF103" i="1"/>
  <c r="BG103" i="1"/>
  <c r="BH103" i="1"/>
  <c r="BE104" i="1"/>
  <c r="BF104" i="1"/>
  <c r="BG104" i="1"/>
  <c r="BH104" i="1"/>
  <c r="BE105" i="1"/>
  <c r="BF105" i="1"/>
  <c r="BG105" i="1"/>
  <c r="BH105" i="1"/>
  <c r="BE106" i="1"/>
  <c r="BF106" i="1"/>
  <c r="BG106" i="1"/>
  <c r="BH106" i="1"/>
  <c r="BE107" i="1"/>
  <c r="BF107" i="1"/>
  <c r="BG107" i="1"/>
  <c r="BH107" i="1"/>
  <c r="BE108" i="1"/>
  <c r="BF108" i="1"/>
  <c r="BG108" i="1"/>
  <c r="BH108" i="1"/>
  <c r="AA13" i="1"/>
  <c r="AC13" i="1" s="1"/>
  <c r="AB13" i="1"/>
  <c r="AG13" i="1"/>
  <c r="AK13" i="1" s="1"/>
  <c r="Z14" i="1"/>
  <c r="AA14" i="1"/>
  <c r="AB14" i="1" s="1"/>
  <c r="AD14" i="1"/>
  <c r="AE14" i="1"/>
  <c r="AG14" i="1"/>
  <c r="AI14" i="1" s="1"/>
  <c r="AH14" i="1"/>
  <c r="AK14" i="1"/>
  <c r="Z15" i="1"/>
  <c r="AA15" i="1"/>
  <c r="AD15" i="1" s="1"/>
  <c r="AG15" i="1"/>
  <c r="AH15" i="1" s="1"/>
  <c r="Z16" i="1"/>
  <c r="AA16" i="1"/>
  <c r="AD16" i="1" s="1"/>
  <c r="AG16" i="1"/>
  <c r="AH16" i="1" s="1"/>
  <c r="Z17" i="1"/>
  <c r="AA17" i="1"/>
  <c r="AB17" i="1"/>
  <c r="AC17" i="1"/>
  <c r="AD17" i="1"/>
  <c r="AE17" i="1"/>
  <c r="AF17" i="1"/>
  <c r="AG17" i="1"/>
  <c r="AI17" i="1" s="1"/>
  <c r="AJ17" i="1"/>
  <c r="AK17" i="1"/>
  <c r="Z18" i="1"/>
  <c r="AA18" i="1"/>
  <c r="AC18" i="1"/>
  <c r="AD18" i="1"/>
  <c r="AE18" i="1"/>
  <c r="AG18" i="1"/>
  <c r="AH18" i="1"/>
  <c r="AI18" i="1"/>
  <c r="AJ18" i="1"/>
  <c r="AK18" i="1"/>
  <c r="Z19" i="1"/>
  <c r="AA19" i="1"/>
  <c r="AC19" i="1" s="1"/>
  <c r="AG19" i="1"/>
  <c r="AH19" i="1" s="1"/>
  <c r="AK19" i="1"/>
  <c r="Z20" i="1"/>
  <c r="AA20" i="1"/>
  <c r="AC20" i="1" s="1"/>
  <c r="AB20" i="1"/>
  <c r="AG20" i="1"/>
  <c r="Z21" i="1"/>
  <c r="AA21" i="1"/>
  <c r="AB21" i="1" s="1"/>
  <c r="AD21" i="1"/>
  <c r="AE21" i="1"/>
  <c r="AG21" i="1"/>
  <c r="AI21" i="1" s="1"/>
  <c r="AK21" i="1"/>
  <c r="Z22" i="1"/>
  <c r="AA22" i="1"/>
  <c r="AE22" i="1" s="1"/>
  <c r="AG22" i="1"/>
  <c r="AH22" i="1"/>
  <c r="AI22" i="1"/>
  <c r="AJ22" i="1"/>
  <c r="AK22" i="1"/>
  <c r="Z23" i="1"/>
  <c r="AA23" i="1"/>
  <c r="AC23" i="1" s="1"/>
  <c r="AF23" i="1"/>
  <c r="AG23" i="1"/>
  <c r="AH23" i="1" s="1"/>
  <c r="Z24" i="1"/>
  <c r="AA24" i="1"/>
  <c r="AD24" i="1" s="1"/>
  <c r="AG24" i="1"/>
  <c r="Z25" i="1"/>
  <c r="AA25" i="1"/>
  <c r="AB25" i="1" s="1"/>
  <c r="AG25" i="1"/>
  <c r="AI25" i="1" s="1"/>
  <c r="Z26" i="1"/>
  <c r="AA26" i="1"/>
  <c r="AE26" i="1" s="1"/>
  <c r="AG26" i="1"/>
  <c r="AH26" i="1" s="1"/>
  <c r="Z27" i="1"/>
  <c r="AA27" i="1"/>
  <c r="AC27" i="1" s="1"/>
  <c r="AG27" i="1"/>
  <c r="AH27" i="1" s="1"/>
  <c r="Z28" i="1"/>
  <c r="AA28" i="1"/>
  <c r="AB28" i="1" s="1"/>
  <c r="AE28" i="1"/>
  <c r="AG28" i="1"/>
  <c r="AJ28" i="1" s="1"/>
  <c r="Z29" i="1"/>
  <c r="AA29" i="1"/>
  <c r="AB29" i="1" s="1"/>
  <c r="AG29" i="1"/>
  <c r="AH29" i="1" s="1"/>
  <c r="Z30" i="1"/>
  <c r="AA30" i="1"/>
  <c r="AD30" i="1"/>
  <c r="AE30" i="1"/>
  <c r="AG30" i="1"/>
  <c r="AH30" i="1"/>
  <c r="AI30" i="1"/>
  <c r="AJ30" i="1"/>
  <c r="AK30" i="1"/>
  <c r="Z31" i="1"/>
  <c r="AA31" i="1"/>
  <c r="AB31" i="1" s="1"/>
  <c r="AE31" i="1"/>
  <c r="AF31" i="1"/>
  <c r="AL31" i="1" s="1"/>
  <c r="AG31" i="1"/>
  <c r="AH31" i="1" s="1"/>
  <c r="AI31" i="1"/>
  <c r="AJ31" i="1"/>
  <c r="AK31" i="1"/>
  <c r="Z32" i="1"/>
  <c r="AA32" i="1"/>
  <c r="AB32" i="1"/>
  <c r="AC32" i="1"/>
  <c r="AD32" i="1"/>
  <c r="AE32" i="1"/>
  <c r="AF32" i="1"/>
  <c r="AG32" i="1"/>
  <c r="AI32" i="1" s="1"/>
  <c r="AK32" i="1"/>
  <c r="Z33" i="1"/>
  <c r="AA33" i="1"/>
  <c r="AC33" i="1" s="1"/>
  <c r="AG33" i="1"/>
  <c r="AJ33" i="1" s="1"/>
  <c r="AI33" i="1"/>
  <c r="Z34" i="1"/>
  <c r="AA34" i="1"/>
  <c r="AC34" i="1" s="1"/>
  <c r="AB34" i="1"/>
  <c r="AD34" i="1"/>
  <c r="AE34" i="1"/>
  <c r="AG34" i="1"/>
  <c r="AK34" i="1" s="1"/>
  <c r="Z35" i="1"/>
  <c r="AA35" i="1"/>
  <c r="AB35" i="1" s="1"/>
  <c r="AG35" i="1"/>
  <c r="AH35" i="1" s="1"/>
  <c r="Z36" i="1"/>
  <c r="AA36" i="1"/>
  <c r="AG36" i="1"/>
  <c r="AH36" i="1" s="1"/>
  <c r="Z37" i="1"/>
  <c r="AA37" i="1"/>
  <c r="AC37" i="1" s="1"/>
  <c r="AG37" i="1"/>
  <c r="AH37" i="1" s="1"/>
  <c r="Z38" i="1"/>
  <c r="AA38" i="1"/>
  <c r="AB38" i="1" s="1"/>
  <c r="AG38" i="1"/>
  <c r="AK38" i="1" s="1"/>
  <c r="Z39" i="1"/>
  <c r="AA39" i="1"/>
  <c r="AB39" i="1" s="1"/>
  <c r="AG39" i="1"/>
  <c r="AH39" i="1" s="1"/>
  <c r="Z40" i="1"/>
  <c r="AA40" i="1"/>
  <c r="AG40" i="1"/>
  <c r="AH40" i="1" s="1"/>
  <c r="Z41" i="1"/>
  <c r="AA41" i="1"/>
  <c r="AB41" i="1" s="1"/>
  <c r="AC41" i="1"/>
  <c r="AG41" i="1"/>
  <c r="AH41" i="1" s="1"/>
  <c r="Z42" i="1"/>
  <c r="AA42" i="1"/>
  <c r="AB42" i="1" s="1"/>
  <c r="AG42" i="1"/>
  <c r="Z43" i="1"/>
  <c r="AA43" i="1"/>
  <c r="AD43" i="1" s="1"/>
  <c r="AG43" i="1"/>
  <c r="AH43" i="1" s="1"/>
  <c r="Z44" i="1"/>
  <c r="AA44" i="1"/>
  <c r="AB44" i="1" s="1"/>
  <c r="AG44" i="1"/>
  <c r="AH44" i="1" s="1"/>
  <c r="Z45" i="1"/>
  <c r="AA45" i="1"/>
  <c r="AB45" i="1" s="1"/>
  <c r="AG45" i="1"/>
  <c r="AJ45" i="1" s="1"/>
  <c r="Z46" i="1"/>
  <c r="AA46" i="1"/>
  <c r="AB46" i="1" s="1"/>
  <c r="AC46" i="1"/>
  <c r="AG46" i="1"/>
  <c r="AH46" i="1" s="1"/>
  <c r="Z47" i="1"/>
  <c r="AA47" i="1"/>
  <c r="AG47" i="1"/>
  <c r="AH47" i="1" s="1"/>
  <c r="Z48" i="1"/>
  <c r="AA48" i="1"/>
  <c r="AD48" i="1" s="1"/>
  <c r="AB48" i="1"/>
  <c r="AE48" i="1"/>
  <c r="AG48" i="1"/>
  <c r="AH48" i="1" s="1"/>
  <c r="Z49" i="1"/>
  <c r="AA49" i="1"/>
  <c r="AB49" i="1" s="1"/>
  <c r="AG49" i="1"/>
  <c r="AI49" i="1" s="1"/>
  <c r="Z50" i="1"/>
  <c r="AA50" i="1"/>
  <c r="AB50" i="1" s="1"/>
  <c r="AG50" i="1"/>
  <c r="AJ50" i="1" s="1"/>
  <c r="Z51" i="1"/>
  <c r="AA51" i="1"/>
  <c r="AC51" i="1" s="1"/>
  <c r="AG51" i="1"/>
  <c r="Z52" i="1"/>
  <c r="AA52" i="1"/>
  <c r="AD52" i="1" s="1"/>
  <c r="AG52" i="1"/>
  <c r="AH52" i="1" s="1"/>
  <c r="Z53" i="1"/>
  <c r="AA53" i="1"/>
  <c r="AB53" i="1"/>
  <c r="AC53" i="1"/>
  <c r="AD53" i="1"/>
  <c r="AE53" i="1"/>
  <c r="AG53" i="1"/>
  <c r="AI53" i="1" s="1"/>
  <c r="AH53" i="1"/>
  <c r="AK53" i="1"/>
  <c r="Z54" i="1"/>
  <c r="AA54" i="1"/>
  <c r="AB54" i="1" s="1"/>
  <c r="AG54" i="1"/>
  <c r="AJ54" i="1" s="1"/>
  <c r="Z55" i="1"/>
  <c r="AA55" i="1"/>
  <c r="AC55" i="1" s="1"/>
  <c r="AG55" i="1"/>
  <c r="AH55" i="1" s="1"/>
  <c r="Z56" i="1"/>
  <c r="AA56" i="1"/>
  <c r="AD56" i="1" s="1"/>
  <c r="AC56" i="1"/>
  <c r="AE56" i="1"/>
  <c r="AG56" i="1"/>
  <c r="AH56" i="1" s="1"/>
  <c r="Z57" i="1"/>
  <c r="AA57" i="1"/>
  <c r="AB57" i="1"/>
  <c r="AC57" i="1"/>
  <c r="AD57" i="1"/>
  <c r="AE57" i="1"/>
  <c r="AG57" i="1"/>
  <c r="AI57" i="1" s="1"/>
  <c r="AH57" i="1"/>
  <c r="AK57" i="1"/>
  <c r="Z58" i="1"/>
  <c r="AA58" i="1"/>
  <c r="AB58" i="1" s="1"/>
  <c r="AG58" i="1"/>
  <c r="AJ58" i="1" s="1"/>
  <c r="AI58" i="1"/>
  <c r="Z59" i="1"/>
  <c r="AA59" i="1"/>
  <c r="AC59" i="1" s="1"/>
  <c r="AG59" i="1"/>
  <c r="AH59" i="1" s="1"/>
  <c r="Z60" i="1"/>
  <c r="AA60" i="1"/>
  <c r="AD60" i="1" s="1"/>
  <c r="AG60" i="1"/>
  <c r="AH60" i="1" s="1"/>
  <c r="Z61" i="1"/>
  <c r="AA61" i="1"/>
  <c r="AB61" i="1"/>
  <c r="AC61" i="1"/>
  <c r="AD61" i="1"/>
  <c r="AE61" i="1"/>
  <c r="AG61" i="1"/>
  <c r="AI61" i="1" s="1"/>
  <c r="AH61" i="1"/>
  <c r="AK61" i="1"/>
  <c r="Z62" i="1"/>
  <c r="AA62" i="1"/>
  <c r="AB62" i="1" s="1"/>
  <c r="AG62" i="1"/>
  <c r="AJ62" i="1" s="1"/>
  <c r="Z63" i="1"/>
  <c r="AA63" i="1"/>
  <c r="AC63" i="1" s="1"/>
  <c r="AG63" i="1"/>
  <c r="AH63" i="1" s="1"/>
  <c r="Z64" i="1"/>
  <c r="AA64" i="1"/>
  <c r="AD64" i="1" s="1"/>
  <c r="AG64" i="1"/>
  <c r="AH64" i="1" s="1"/>
  <c r="Z65" i="1"/>
  <c r="AA65" i="1"/>
  <c r="AB65" i="1"/>
  <c r="AC65" i="1"/>
  <c r="AD65" i="1"/>
  <c r="AE65" i="1"/>
  <c r="AF65" i="1"/>
  <c r="AM65" i="1" s="1"/>
  <c r="AN65" i="1" s="1"/>
  <c r="AG65" i="1"/>
  <c r="AI65" i="1" s="1"/>
  <c r="AH65" i="1"/>
  <c r="AJ65" i="1"/>
  <c r="AK65" i="1"/>
  <c r="AL65" i="1"/>
  <c r="Z66" i="1"/>
  <c r="AA66" i="1"/>
  <c r="AB66" i="1" s="1"/>
  <c r="AG66" i="1"/>
  <c r="AJ66" i="1" s="1"/>
  <c r="Z67" i="1"/>
  <c r="AA67" i="1"/>
  <c r="AC67" i="1" s="1"/>
  <c r="AB67" i="1"/>
  <c r="AD67" i="1"/>
  <c r="AE67" i="1"/>
  <c r="AF67" i="1"/>
  <c r="AL67" i="1" s="1"/>
  <c r="AG67" i="1"/>
  <c r="AH67" i="1"/>
  <c r="AI67" i="1"/>
  <c r="AJ67" i="1"/>
  <c r="AK67" i="1"/>
  <c r="Z68" i="1"/>
  <c r="AA68" i="1"/>
  <c r="AD68" i="1" s="1"/>
  <c r="AG68" i="1"/>
  <c r="AH68" i="1" s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BG9" i="1"/>
  <c r="AJ36" i="1" l="1"/>
  <c r="AK36" i="1"/>
  <c r="AI36" i="1"/>
  <c r="AE46" i="1"/>
  <c r="AD46" i="1"/>
  <c r="AJ35" i="1"/>
  <c r="AI35" i="1"/>
  <c r="AD35" i="1"/>
  <c r="AI62" i="1"/>
  <c r="AK62" i="1"/>
  <c r="AI51" i="1"/>
  <c r="AH51" i="1"/>
  <c r="AB51" i="1"/>
  <c r="AJ51" i="1"/>
  <c r="AD28" i="1"/>
  <c r="AC28" i="1"/>
  <c r="AF28" i="1"/>
  <c r="AL28" i="1" s="1"/>
  <c r="AJ27" i="1"/>
  <c r="AI27" i="1"/>
  <c r="AB27" i="1"/>
  <c r="AE23" i="1"/>
  <c r="AK23" i="1"/>
  <c r="AJ23" i="1"/>
  <c r="AI23" i="1"/>
  <c r="AB23" i="1"/>
  <c r="AK58" i="1"/>
  <c r="AJ59" i="1"/>
  <c r="AF59" i="1"/>
  <c r="AL59" i="1" s="1"/>
  <c r="AI59" i="1"/>
  <c r="AE59" i="1"/>
  <c r="AK59" i="1"/>
  <c r="AB59" i="1"/>
  <c r="AH21" i="1"/>
  <c r="AC21" i="1"/>
  <c r="AI50" i="1"/>
  <c r="AJ44" i="1"/>
  <c r="AI44" i="1"/>
  <c r="AJ41" i="1"/>
  <c r="AD41" i="1"/>
  <c r="AE41" i="1" s="1"/>
  <c r="AD45" i="1"/>
  <c r="AC45" i="1"/>
  <c r="AJ39" i="1"/>
  <c r="AI39" i="1"/>
  <c r="AD39" i="1"/>
  <c r="AI40" i="1"/>
  <c r="AJ40" i="1"/>
  <c r="AK40" i="1" s="1"/>
  <c r="AJ9" i="1"/>
  <c r="AI16" i="1"/>
  <c r="AI66" i="1"/>
  <c r="AC68" i="1"/>
  <c r="AJ12" i="1"/>
  <c r="AI12" i="1"/>
  <c r="AH12" i="1"/>
  <c r="AE49" i="1"/>
  <c r="AK49" i="1"/>
  <c r="AD49" i="1"/>
  <c r="AH49" i="1"/>
  <c r="AC49" i="1"/>
  <c r="AB37" i="1"/>
  <c r="AJ37" i="1"/>
  <c r="AD37" i="1"/>
  <c r="AD29" i="1"/>
  <c r="AC29" i="1"/>
  <c r="AE38" i="1"/>
  <c r="AD38" i="1"/>
  <c r="AC38" i="1"/>
  <c r="AK26" i="1"/>
  <c r="AJ26" i="1"/>
  <c r="AI26" i="1"/>
  <c r="AF19" i="1"/>
  <c r="AJ19" i="1"/>
  <c r="AE19" i="1"/>
  <c r="AI19" i="1"/>
  <c r="AB19" i="1"/>
  <c r="AI54" i="1"/>
  <c r="AE33" i="1"/>
  <c r="AK33" i="1"/>
  <c r="AD33" i="1"/>
  <c r="AE13" i="1"/>
  <c r="AD13" i="1"/>
  <c r="AJ15" i="1"/>
  <c r="AI15" i="1"/>
  <c r="AD25" i="1"/>
  <c r="AK25" i="1"/>
  <c r="AH25" i="1"/>
  <c r="AC25" i="1"/>
  <c r="AE25" i="1"/>
  <c r="AC60" i="1"/>
  <c r="AK63" i="1"/>
  <c r="AF63" i="1"/>
  <c r="AL63" i="1" s="1"/>
  <c r="AJ63" i="1"/>
  <c r="AE63" i="1"/>
  <c r="AI63" i="1"/>
  <c r="AD63" i="1"/>
  <c r="AB63" i="1"/>
  <c r="AD20" i="1"/>
  <c r="AE20" i="1" s="1"/>
  <c r="AC24" i="1"/>
  <c r="AB24" i="1"/>
  <c r="AD42" i="1"/>
  <c r="AC42" i="1"/>
  <c r="AJ11" i="1"/>
  <c r="AI11" i="1"/>
  <c r="AJ43" i="1"/>
  <c r="AI43" i="1"/>
  <c r="AC64" i="1"/>
  <c r="AJ55" i="1"/>
  <c r="AI55" i="1"/>
  <c r="AB55" i="1"/>
  <c r="AJ47" i="1"/>
  <c r="AI47" i="1"/>
  <c r="AJ16" i="1"/>
  <c r="AC16" i="1"/>
  <c r="AC52" i="1"/>
  <c r="AQ65" i="1"/>
  <c r="AU65" i="1"/>
  <c r="AR65" i="1"/>
  <c r="AV65" i="1"/>
  <c r="AO65" i="1"/>
  <c r="AS65" i="1"/>
  <c r="AP65" i="1"/>
  <c r="AT65" i="1"/>
  <c r="AE62" i="1"/>
  <c r="AK48" i="1"/>
  <c r="AJ68" i="1"/>
  <c r="AB68" i="1"/>
  <c r="AE68" i="1" s="1"/>
  <c r="AM67" i="1"/>
  <c r="AN67" i="1" s="1"/>
  <c r="AH66" i="1"/>
  <c r="AD66" i="1"/>
  <c r="AE66" i="1" s="1"/>
  <c r="AJ64" i="1"/>
  <c r="AB64" i="1"/>
  <c r="AE64" i="1" s="1"/>
  <c r="AM63" i="1"/>
  <c r="AN63" i="1" s="1"/>
  <c r="AH62" i="1"/>
  <c r="AD62" i="1"/>
  <c r="AJ60" i="1"/>
  <c r="AB60" i="1"/>
  <c r="AE60" i="1" s="1"/>
  <c r="AM59" i="1"/>
  <c r="AN59" i="1" s="1"/>
  <c r="AH58" i="1"/>
  <c r="AD58" i="1"/>
  <c r="AJ56" i="1"/>
  <c r="AF56" i="1"/>
  <c r="AB56" i="1"/>
  <c r="AH54" i="1"/>
  <c r="AD54" i="1"/>
  <c r="AJ52" i="1"/>
  <c r="AB52" i="1"/>
  <c r="AH50" i="1"/>
  <c r="AK50" i="1" s="1"/>
  <c r="AD50" i="1"/>
  <c r="AJ48" i="1"/>
  <c r="AF48" i="1"/>
  <c r="AI46" i="1"/>
  <c r="AJ46" i="1"/>
  <c r="AB40" i="1"/>
  <c r="AC40" i="1"/>
  <c r="AD40" i="1"/>
  <c r="AB36" i="1"/>
  <c r="AF36" i="1"/>
  <c r="AC36" i="1"/>
  <c r="AD36" i="1"/>
  <c r="AM32" i="1"/>
  <c r="AN32" i="1" s="1"/>
  <c r="AL32" i="1"/>
  <c r="AM17" i="1"/>
  <c r="AN17" i="1" s="1"/>
  <c r="AL17" i="1"/>
  <c r="AI68" i="1"/>
  <c r="AC66" i="1"/>
  <c r="AI64" i="1"/>
  <c r="AC62" i="1"/>
  <c r="AJ61" i="1"/>
  <c r="AF61" i="1"/>
  <c r="AI60" i="1"/>
  <c r="AD59" i="1"/>
  <c r="AC58" i="1"/>
  <c r="AJ57" i="1"/>
  <c r="AF57" i="1"/>
  <c r="AI56" i="1"/>
  <c r="AD55" i="1"/>
  <c r="AC54" i="1"/>
  <c r="AJ53" i="1"/>
  <c r="AF53" i="1"/>
  <c r="AI52" i="1"/>
  <c r="AD51" i="1"/>
  <c r="AC50" i="1"/>
  <c r="AJ49" i="1"/>
  <c r="AF49" i="1"/>
  <c r="AI48" i="1"/>
  <c r="AH45" i="1"/>
  <c r="AK45" i="1" s="1"/>
  <c r="AI45" i="1"/>
  <c r="AB43" i="1"/>
  <c r="AC43" i="1"/>
  <c r="AH42" i="1"/>
  <c r="AI42" i="1"/>
  <c r="AJ42" i="1"/>
  <c r="AH38" i="1"/>
  <c r="AI38" i="1"/>
  <c r="AJ38" i="1"/>
  <c r="AH34" i="1"/>
  <c r="AI34" i="1"/>
  <c r="AF34" i="1"/>
  <c r="AJ34" i="1"/>
  <c r="AE58" i="1"/>
  <c r="AK56" i="1"/>
  <c r="AB47" i="1"/>
  <c r="AC47" i="1"/>
  <c r="AF62" i="1"/>
  <c r="AF58" i="1"/>
  <c r="AC48" i="1"/>
  <c r="AD47" i="1"/>
  <c r="AK46" i="1"/>
  <c r="AC44" i="1"/>
  <c r="AD44" i="1"/>
  <c r="AF46" i="1"/>
  <c r="AI41" i="1"/>
  <c r="AC39" i="1"/>
  <c r="AF38" i="1"/>
  <c r="AI37" i="1"/>
  <c r="AC35" i="1"/>
  <c r="AH33" i="1"/>
  <c r="AJ32" i="1"/>
  <c r="AB30" i="1"/>
  <c r="AF30" i="1"/>
  <c r="AC30" i="1"/>
  <c r="AK28" i="1"/>
  <c r="AL23" i="1"/>
  <c r="AM23" i="1"/>
  <c r="AN23" i="1" s="1"/>
  <c r="AL19" i="1"/>
  <c r="AM19" i="1"/>
  <c r="AN19" i="1" s="1"/>
  <c r="AB33" i="1"/>
  <c r="AF33" i="1"/>
  <c r="AH32" i="1"/>
  <c r="AM31" i="1"/>
  <c r="AN31" i="1" s="1"/>
  <c r="AC31" i="1"/>
  <c r="AD31" i="1"/>
  <c r="AI29" i="1"/>
  <c r="AJ29" i="1"/>
  <c r="AH28" i="1"/>
  <c r="AI28" i="1"/>
  <c r="AB26" i="1"/>
  <c r="AF26" i="1"/>
  <c r="AC26" i="1"/>
  <c r="AD26" i="1"/>
  <c r="AH24" i="1"/>
  <c r="AI24" i="1"/>
  <c r="AJ24" i="1"/>
  <c r="AB22" i="1"/>
  <c r="AF22" i="1"/>
  <c r="AC22" i="1"/>
  <c r="AD22" i="1"/>
  <c r="AH20" i="1"/>
  <c r="AI20" i="1"/>
  <c r="AJ20" i="1"/>
  <c r="AB15" i="1"/>
  <c r="AC15" i="1"/>
  <c r="AH13" i="1"/>
  <c r="AI13" i="1"/>
  <c r="AF13" i="1"/>
  <c r="AJ13" i="1"/>
  <c r="AB11" i="1"/>
  <c r="AC11" i="1"/>
  <c r="AD27" i="1"/>
  <c r="AE27" i="1" s="1"/>
  <c r="AJ25" i="1"/>
  <c r="AF25" i="1"/>
  <c r="AD23" i="1"/>
  <c r="AJ21" i="1"/>
  <c r="AF21" i="1"/>
  <c r="AD19" i="1"/>
  <c r="AB18" i="1"/>
  <c r="AF18" i="1"/>
  <c r="AH17" i="1"/>
  <c r="AB16" i="1"/>
  <c r="AE16" i="1" s="1"/>
  <c r="AB12" i="1"/>
  <c r="AC12" i="1"/>
  <c r="AB9" i="1"/>
  <c r="AC9" i="1"/>
  <c r="AE9" i="1" s="1"/>
  <c r="AD11" i="1"/>
  <c r="AL10" i="1"/>
  <c r="AM10" i="1"/>
  <c r="AN10" i="1" s="1"/>
  <c r="AC14" i="1"/>
  <c r="AI9" i="1"/>
  <c r="AJ14" i="1"/>
  <c r="AF14" i="1"/>
  <c r="Z2" i="1"/>
  <c r="AE36" i="1" l="1"/>
  <c r="AK35" i="1"/>
  <c r="AE35" i="1"/>
  <c r="AF35" i="1" s="1"/>
  <c r="AK51" i="1"/>
  <c r="AE51" i="1"/>
  <c r="AM28" i="1"/>
  <c r="AN28" i="1" s="1"/>
  <c r="AQ28" i="1" s="1"/>
  <c r="AK27" i="1"/>
  <c r="AF27" i="1" s="1"/>
  <c r="AL27" i="1" s="1"/>
  <c r="AE50" i="1"/>
  <c r="AF50" i="1" s="1"/>
  <c r="AK44" i="1"/>
  <c r="AE44" i="1"/>
  <c r="AK41" i="1"/>
  <c r="AF41" i="1" s="1"/>
  <c r="AM41" i="1" s="1"/>
  <c r="AE45" i="1"/>
  <c r="AF45" i="1" s="1"/>
  <c r="AK39" i="1"/>
  <c r="AE39" i="1"/>
  <c r="AF39" i="1" s="1"/>
  <c r="AE40" i="1"/>
  <c r="AF40" i="1" s="1"/>
  <c r="AK9" i="1"/>
  <c r="AF9" i="1" s="1"/>
  <c r="AK54" i="1"/>
  <c r="AK16" i="1"/>
  <c r="AE15" i="1"/>
  <c r="AK68" i="1"/>
  <c r="AF68" i="1" s="1"/>
  <c r="AK66" i="1"/>
  <c r="AF66" i="1" s="1"/>
  <c r="AK12" i="1"/>
  <c r="AE12" i="1"/>
  <c r="AF12" i="1" s="1"/>
  <c r="AL12" i="1" s="1"/>
  <c r="AK37" i="1"/>
  <c r="AE37" i="1"/>
  <c r="AK29" i="1"/>
  <c r="AE29" i="1"/>
  <c r="AE54" i="1"/>
  <c r="AF54" i="1" s="1"/>
  <c r="AL54" i="1" s="1"/>
  <c r="AK15" i="1"/>
  <c r="AF15" i="1" s="1"/>
  <c r="AK60" i="1"/>
  <c r="AF60" i="1" s="1"/>
  <c r="AK20" i="1"/>
  <c r="AF20" i="1" s="1"/>
  <c r="AK24" i="1"/>
  <c r="AE24" i="1"/>
  <c r="AF24" i="1" s="1"/>
  <c r="AL24" i="1" s="1"/>
  <c r="AX24" i="1" s="1"/>
  <c r="AK42" i="1"/>
  <c r="AE42" i="1"/>
  <c r="AF42" i="1" s="1"/>
  <c r="AK11" i="1"/>
  <c r="AE11" i="1"/>
  <c r="AF11" i="1" s="1"/>
  <c r="AK43" i="1"/>
  <c r="AE43" i="1"/>
  <c r="AF43" i="1" s="1"/>
  <c r="AK64" i="1"/>
  <c r="AF64" i="1" s="1"/>
  <c r="AK55" i="1"/>
  <c r="AE55" i="1"/>
  <c r="AK47" i="1"/>
  <c r="AE47" i="1"/>
  <c r="AF47" i="1" s="1"/>
  <c r="AF16" i="1"/>
  <c r="AL16" i="1" s="1"/>
  <c r="AK52" i="1"/>
  <c r="AE52" i="1"/>
  <c r="AL33" i="1"/>
  <c r="AX33" i="1" s="1"/>
  <c r="AM33" i="1"/>
  <c r="AN33" i="1" s="1"/>
  <c r="AO19" i="1"/>
  <c r="AS19" i="1"/>
  <c r="AY19" i="1" s="1"/>
  <c r="AP19" i="1"/>
  <c r="AT19" i="1"/>
  <c r="AQ19" i="1"/>
  <c r="AU19" i="1"/>
  <c r="AR19" i="1"/>
  <c r="AV19" i="1"/>
  <c r="AL38" i="1"/>
  <c r="AM38" i="1"/>
  <c r="AN38" i="1" s="1"/>
  <c r="AM46" i="1"/>
  <c r="AN46" i="1" s="1"/>
  <c r="AL46" i="1"/>
  <c r="AW46" i="1" s="1"/>
  <c r="AL62" i="1"/>
  <c r="AM62" i="1"/>
  <c r="AN62" i="1" s="1"/>
  <c r="AM57" i="1"/>
  <c r="AN57" i="1" s="1"/>
  <c r="AL57" i="1"/>
  <c r="AQ32" i="1"/>
  <c r="AU32" i="1"/>
  <c r="AR32" i="1"/>
  <c r="AS32" i="1"/>
  <c r="AZ32" i="1" s="1"/>
  <c r="BA32" i="1" s="1"/>
  <c r="AO32" i="1"/>
  <c r="AT32" i="1"/>
  <c r="AP32" i="1"/>
  <c r="AV32" i="1"/>
  <c r="AL48" i="1"/>
  <c r="AM48" i="1"/>
  <c r="AN48" i="1" s="1"/>
  <c r="AL56" i="1"/>
  <c r="AM56" i="1"/>
  <c r="AN56" i="1" s="1"/>
  <c r="AO59" i="1"/>
  <c r="AS59" i="1"/>
  <c r="AZ59" i="1" s="1"/>
  <c r="BA59" i="1" s="1"/>
  <c r="AV59" i="1"/>
  <c r="AP59" i="1"/>
  <c r="AT59" i="1"/>
  <c r="AR59" i="1"/>
  <c r="AQ59" i="1"/>
  <c r="AU59" i="1"/>
  <c r="AO67" i="1"/>
  <c r="AS67" i="1"/>
  <c r="AZ67" i="1" s="1"/>
  <c r="BA67" i="1" s="1"/>
  <c r="AR67" i="1"/>
  <c r="AP67" i="1"/>
  <c r="AT67" i="1"/>
  <c r="AV67" i="1"/>
  <c r="AQ67" i="1"/>
  <c r="AU67" i="1"/>
  <c r="AM25" i="1"/>
  <c r="AN25" i="1" s="1"/>
  <c r="AL25" i="1"/>
  <c r="AL20" i="1"/>
  <c r="AM20" i="1"/>
  <c r="AM24" i="1"/>
  <c r="AM50" i="1"/>
  <c r="AL50" i="1"/>
  <c r="AL43" i="1"/>
  <c r="AX43" i="1" s="1"/>
  <c r="AM43" i="1"/>
  <c r="AM61" i="1"/>
  <c r="AN61" i="1" s="1"/>
  <c r="AL61" i="1"/>
  <c r="AM14" i="1"/>
  <c r="AN14" i="1" s="1"/>
  <c r="AL14" i="1"/>
  <c r="AM21" i="1"/>
  <c r="AN21" i="1" s="1"/>
  <c r="AL21" i="1"/>
  <c r="AL11" i="1"/>
  <c r="AX11" i="1" s="1"/>
  <c r="AM11" i="1"/>
  <c r="AL13" i="1"/>
  <c r="AM13" i="1"/>
  <c r="AN13" i="1" s="1"/>
  <c r="AL22" i="1"/>
  <c r="AM22" i="1"/>
  <c r="AN22" i="1" s="1"/>
  <c r="AL26" i="1"/>
  <c r="AM26" i="1"/>
  <c r="AN26" i="1" s="1"/>
  <c r="AP31" i="1"/>
  <c r="AT31" i="1"/>
  <c r="AQ31" i="1"/>
  <c r="AV31" i="1"/>
  <c r="AR31" i="1"/>
  <c r="AS31" i="1"/>
  <c r="AY31" i="1" s="1"/>
  <c r="AU31" i="1"/>
  <c r="AO31" i="1"/>
  <c r="AM35" i="1"/>
  <c r="AL35" i="1"/>
  <c r="AX35" i="1" s="1"/>
  <c r="AO23" i="1"/>
  <c r="AS23" i="1"/>
  <c r="AY23" i="1" s="1"/>
  <c r="AP23" i="1"/>
  <c r="AT23" i="1"/>
  <c r="AQ23" i="1"/>
  <c r="AU23" i="1"/>
  <c r="AR23" i="1"/>
  <c r="AV23" i="1"/>
  <c r="AL30" i="1"/>
  <c r="AM30" i="1"/>
  <c r="AN30" i="1" s="1"/>
  <c r="AM49" i="1"/>
  <c r="AN49" i="1" s="1"/>
  <c r="AL49" i="1"/>
  <c r="AX49" i="1" s="1"/>
  <c r="AQ17" i="1"/>
  <c r="AU17" i="1"/>
  <c r="AR17" i="1"/>
  <c r="AS17" i="1"/>
  <c r="AY17" i="1" s="1"/>
  <c r="AO17" i="1"/>
  <c r="AT17" i="1"/>
  <c r="AV17" i="1"/>
  <c r="AP17" i="1"/>
  <c r="AO63" i="1"/>
  <c r="AS63" i="1"/>
  <c r="AY63" i="1" s="1"/>
  <c r="AP63" i="1"/>
  <c r="AT63" i="1"/>
  <c r="AV63" i="1"/>
  <c r="AQ63" i="1"/>
  <c r="AU63" i="1"/>
  <c r="AR63" i="1"/>
  <c r="AO10" i="1"/>
  <c r="AR10" i="1"/>
  <c r="AS10" i="1"/>
  <c r="AZ10" i="1" s="1"/>
  <c r="BA10" i="1" s="1"/>
  <c r="AU10" i="1"/>
  <c r="AV10" i="1"/>
  <c r="AQ10" i="1"/>
  <c r="AT10" i="1"/>
  <c r="AP10" i="1"/>
  <c r="AL18" i="1"/>
  <c r="AM18" i="1"/>
  <c r="AN18" i="1" s="1"/>
  <c r="AM39" i="1"/>
  <c r="AL39" i="1"/>
  <c r="AX39" i="1" s="1"/>
  <c r="AM42" i="1"/>
  <c r="AL42" i="1"/>
  <c r="AX42" i="1" s="1"/>
  <c r="AM58" i="1"/>
  <c r="AN58" i="1" s="1"/>
  <c r="AL58" i="1"/>
  <c r="AL34" i="1"/>
  <c r="AM34" i="1"/>
  <c r="AN34" i="1" s="1"/>
  <c r="AM53" i="1"/>
  <c r="AN53" i="1" s="1"/>
  <c r="AL53" i="1"/>
  <c r="AL36" i="1"/>
  <c r="AX36" i="1" s="1"/>
  <c r="AM36" i="1"/>
  <c r="AN36" i="1" s="1"/>
  <c r="AL40" i="1"/>
  <c r="AM40" i="1"/>
  <c r="AL47" i="1"/>
  <c r="AX47" i="1" s="1"/>
  <c r="AM47" i="1"/>
  <c r="AW10" i="1"/>
  <c r="AZ70" i="1"/>
  <c r="AZ72" i="1"/>
  <c r="AZ74" i="1"/>
  <c r="AZ76" i="1"/>
  <c r="AZ78" i="1"/>
  <c r="AZ80" i="1"/>
  <c r="AZ82" i="1"/>
  <c r="AZ84" i="1"/>
  <c r="AZ86" i="1"/>
  <c r="AZ88" i="1"/>
  <c r="AZ90" i="1"/>
  <c r="AZ92" i="1"/>
  <c r="AZ94" i="1"/>
  <c r="AZ96" i="1"/>
  <c r="AZ98" i="1"/>
  <c r="AZ100" i="1"/>
  <c r="AZ102" i="1"/>
  <c r="AX10" i="1"/>
  <c r="AX16" i="1"/>
  <c r="AW19" i="1"/>
  <c r="AX20" i="1"/>
  <c r="AW23" i="1"/>
  <c r="AZ75" i="1"/>
  <c r="AZ105" i="1"/>
  <c r="AX18" i="1"/>
  <c r="AX21" i="1"/>
  <c r="AW22" i="1"/>
  <c r="AW25" i="1"/>
  <c r="AW28" i="1"/>
  <c r="AW32" i="1"/>
  <c r="AW48" i="1"/>
  <c r="AZ69" i="1"/>
  <c r="AZ77" i="1"/>
  <c r="AZ83" i="1"/>
  <c r="AZ87" i="1"/>
  <c r="AZ91" i="1"/>
  <c r="AZ95" i="1"/>
  <c r="AZ99" i="1"/>
  <c r="AZ103" i="1"/>
  <c r="AZ108" i="1"/>
  <c r="AW13" i="1"/>
  <c r="AX19" i="1"/>
  <c r="AX22" i="1"/>
  <c r="AX25" i="1"/>
  <c r="AW26" i="1"/>
  <c r="AX28" i="1"/>
  <c r="AW31" i="1"/>
  <c r="AX32" i="1"/>
  <c r="AX48" i="1"/>
  <c r="AZ71" i="1"/>
  <c r="AZ79" i="1"/>
  <c r="AZ106" i="1"/>
  <c r="AX13" i="1"/>
  <c r="AW14" i="1"/>
  <c r="AW17" i="1"/>
  <c r="AW20" i="1"/>
  <c r="AX23" i="1"/>
  <c r="AZ85" i="1"/>
  <c r="AZ101" i="1"/>
  <c r="AW18" i="1"/>
  <c r="AX34" i="1"/>
  <c r="AX50" i="1"/>
  <c r="AW53" i="1"/>
  <c r="AW58" i="1"/>
  <c r="AX59" i="1"/>
  <c r="AX63" i="1"/>
  <c r="AX67" i="1"/>
  <c r="BA69" i="1"/>
  <c r="AW70" i="1"/>
  <c r="AX71" i="1"/>
  <c r="AY72" i="1"/>
  <c r="BA73" i="1"/>
  <c r="AW74" i="1"/>
  <c r="AX75" i="1"/>
  <c r="AY76" i="1"/>
  <c r="BA77" i="1"/>
  <c r="AW78" i="1"/>
  <c r="AX79" i="1"/>
  <c r="AY80" i="1"/>
  <c r="BA81" i="1"/>
  <c r="AW82" i="1"/>
  <c r="AZ65" i="1"/>
  <c r="BA65" i="1" s="1"/>
  <c r="AZ89" i="1"/>
  <c r="AZ104" i="1"/>
  <c r="AX26" i="1"/>
  <c r="AW30" i="1"/>
  <c r="AX31" i="1"/>
  <c r="AW38" i="1"/>
  <c r="AX53" i="1"/>
  <c r="AW57" i="1"/>
  <c r="AX58" i="1"/>
  <c r="AW61" i="1"/>
  <c r="AX62" i="1"/>
  <c r="AW65" i="1"/>
  <c r="AW69" i="1"/>
  <c r="AX70" i="1"/>
  <c r="AY71" i="1"/>
  <c r="BA72" i="1"/>
  <c r="AW73" i="1"/>
  <c r="AX74" i="1"/>
  <c r="AY75" i="1"/>
  <c r="BA76" i="1"/>
  <c r="AW77" i="1"/>
  <c r="AX78" i="1"/>
  <c r="AY79" i="1"/>
  <c r="BA80" i="1"/>
  <c r="AW81" i="1"/>
  <c r="AX82" i="1"/>
  <c r="AY83" i="1"/>
  <c r="AZ93" i="1"/>
  <c r="AX17" i="1"/>
  <c r="AW34" i="1"/>
  <c r="AX56" i="1"/>
  <c r="AW63" i="1"/>
  <c r="AY65" i="1"/>
  <c r="AW71" i="1"/>
  <c r="AX72" i="1"/>
  <c r="AY73" i="1"/>
  <c r="BA74" i="1"/>
  <c r="AW79" i="1"/>
  <c r="AX80" i="1"/>
  <c r="AY81" i="1"/>
  <c r="BA82" i="1"/>
  <c r="BA83" i="1"/>
  <c r="AW84" i="1"/>
  <c r="AX85" i="1"/>
  <c r="AY86" i="1"/>
  <c r="BA87" i="1"/>
  <c r="AW88" i="1"/>
  <c r="AX89" i="1"/>
  <c r="AY90" i="1"/>
  <c r="BA91" i="1"/>
  <c r="AW92" i="1"/>
  <c r="AX93" i="1"/>
  <c r="AY94" i="1"/>
  <c r="BA95" i="1"/>
  <c r="AW96" i="1"/>
  <c r="AX97" i="1"/>
  <c r="AY98" i="1"/>
  <c r="BA99" i="1"/>
  <c r="AW100" i="1"/>
  <c r="AX101" i="1"/>
  <c r="AY102" i="1"/>
  <c r="BA103" i="1"/>
  <c r="AW104" i="1"/>
  <c r="AX105" i="1"/>
  <c r="AY106" i="1"/>
  <c r="BA107" i="1"/>
  <c r="AW108" i="1"/>
  <c r="AZ81" i="1"/>
  <c r="AX38" i="1"/>
  <c r="AW56" i="1"/>
  <c r="AW72" i="1"/>
  <c r="AX81" i="1"/>
  <c r="AX90" i="1"/>
  <c r="AY91" i="1"/>
  <c r="BA92" i="1"/>
  <c r="BA96" i="1"/>
  <c r="AZ97" i="1"/>
  <c r="AX30" i="1"/>
  <c r="AX61" i="1"/>
  <c r="AX69" i="1"/>
  <c r="AY70" i="1"/>
  <c r="BA71" i="1"/>
  <c r="AW76" i="1"/>
  <c r="AX77" i="1"/>
  <c r="AY78" i="1"/>
  <c r="BA79" i="1"/>
  <c r="AX84" i="1"/>
  <c r="AY85" i="1"/>
  <c r="BA86" i="1"/>
  <c r="AW87" i="1"/>
  <c r="AX88" i="1"/>
  <c r="AY89" i="1"/>
  <c r="BA90" i="1"/>
  <c r="AW91" i="1"/>
  <c r="AX92" i="1"/>
  <c r="AY93" i="1"/>
  <c r="BA94" i="1"/>
  <c r="AW95" i="1"/>
  <c r="AX96" i="1"/>
  <c r="AY97" i="1"/>
  <c r="BA98" i="1"/>
  <c r="AW99" i="1"/>
  <c r="AX100" i="1"/>
  <c r="AY101" i="1"/>
  <c r="BA102" i="1"/>
  <c r="AW103" i="1"/>
  <c r="AX104" i="1"/>
  <c r="AY105" i="1"/>
  <c r="BA106" i="1"/>
  <c r="AW107" i="1"/>
  <c r="AX108" i="1"/>
  <c r="AY74" i="1"/>
  <c r="BA75" i="1"/>
  <c r="BA84" i="1"/>
  <c r="AX86" i="1"/>
  <c r="AY87" i="1"/>
  <c r="AW89" i="1"/>
  <c r="AX94" i="1"/>
  <c r="AY95" i="1"/>
  <c r="AX98" i="1"/>
  <c r="AY99" i="1"/>
  <c r="BA104" i="1"/>
  <c r="AZ73" i="1"/>
  <c r="AZ107" i="1"/>
  <c r="AX14" i="1"/>
  <c r="AW59" i="1"/>
  <c r="AW67" i="1"/>
  <c r="AY69" i="1"/>
  <c r="BA70" i="1"/>
  <c r="AW75" i="1"/>
  <c r="AX76" i="1"/>
  <c r="AY77" i="1"/>
  <c r="BA78" i="1"/>
  <c r="AW83" i="1"/>
  <c r="AY84" i="1"/>
  <c r="BA85" i="1"/>
  <c r="AW86" i="1"/>
  <c r="AX87" i="1"/>
  <c r="AY88" i="1"/>
  <c r="BA89" i="1"/>
  <c r="AW90" i="1"/>
  <c r="AX91" i="1"/>
  <c r="AY92" i="1"/>
  <c r="BA93" i="1"/>
  <c r="AW94" i="1"/>
  <c r="AX95" i="1"/>
  <c r="AY96" i="1"/>
  <c r="BA97" i="1"/>
  <c r="AW98" i="1"/>
  <c r="AX99" i="1"/>
  <c r="AY100" i="1"/>
  <c r="BA101" i="1"/>
  <c r="AW102" i="1"/>
  <c r="AX103" i="1"/>
  <c r="AY104" i="1"/>
  <c r="BA105" i="1"/>
  <c r="AW106" i="1"/>
  <c r="AX107" i="1"/>
  <c r="AY108" i="1"/>
  <c r="AX57" i="1"/>
  <c r="AX65" i="1"/>
  <c r="AX73" i="1"/>
  <c r="AW80" i="1"/>
  <c r="AY82" i="1"/>
  <c r="AX83" i="1"/>
  <c r="AW85" i="1"/>
  <c r="BA88" i="1"/>
  <c r="AW93" i="1"/>
  <c r="AW97" i="1"/>
  <c r="BA100" i="1"/>
  <c r="AW101" i="1"/>
  <c r="AX102" i="1"/>
  <c r="AY103" i="1"/>
  <c r="AW105" i="1"/>
  <c r="AX106" i="1"/>
  <c r="AY107" i="1"/>
  <c r="BA108" i="1"/>
  <c r="AW36" i="1" l="1"/>
  <c r="AN35" i="1"/>
  <c r="AX46" i="1"/>
  <c r="AW35" i="1"/>
  <c r="AV28" i="1"/>
  <c r="AU28" i="1"/>
  <c r="AT28" i="1"/>
  <c r="AW62" i="1"/>
  <c r="AF51" i="1"/>
  <c r="AL51" i="1" s="1"/>
  <c r="AR28" i="1"/>
  <c r="AP28" i="1"/>
  <c r="AO28" i="1"/>
  <c r="AS28" i="1"/>
  <c r="AZ28" i="1" s="1"/>
  <c r="BA28" i="1" s="1"/>
  <c r="BE28" i="1" s="1"/>
  <c r="AX27" i="1"/>
  <c r="AM27" i="1"/>
  <c r="AW21" i="1"/>
  <c r="AW50" i="1"/>
  <c r="AF44" i="1"/>
  <c r="AL44" i="1" s="1"/>
  <c r="AL41" i="1"/>
  <c r="AL45" i="1"/>
  <c r="AX45" i="1" s="1"/>
  <c r="AM45" i="1"/>
  <c r="AW45" i="1"/>
  <c r="AW39" i="1"/>
  <c r="AW40" i="1"/>
  <c r="AX40" i="1"/>
  <c r="AL9" i="1"/>
  <c r="AX9" i="1" s="1"/>
  <c r="AM9" i="1"/>
  <c r="AF55" i="1"/>
  <c r="AL55" i="1" s="1"/>
  <c r="AX55" i="1" s="1"/>
  <c r="AL68" i="1"/>
  <c r="AX68" i="1" s="1"/>
  <c r="AM68" i="1"/>
  <c r="AM54" i="1"/>
  <c r="AW54" i="1" s="1"/>
  <c r="AM66" i="1"/>
  <c r="AL66" i="1"/>
  <c r="AW68" i="1"/>
  <c r="AM12" i="1"/>
  <c r="AX12" i="1"/>
  <c r="AW49" i="1"/>
  <c r="AF37" i="1"/>
  <c r="AL37" i="1" s="1"/>
  <c r="AF29" i="1"/>
  <c r="AX54" i="1"/>
  <c r="AW33" i="1"/>
  <c r="AL15" i="1"/>
  <c r="AX15" i="1" s="1"/>
  <c r="AM15" i="1"/>
  <c r="AL60" i="1"/>
  <c r="AM60" i="1"/>
  <c r="AW24" i="1"/>
  <c r="AW42" i="1"/>
  <c r="AY10" i="1"/>
  <c r="AW11" i="1"/>
  <c r="AW43" i="1"/>
  <c r="AM64" i="1"/>
  <c r="AL64" i="1"/>
  <c r="AX64" i="1" s="1"/>
  <c r="AM55" i="1"/>
  <c r="AW47" i="1"/>
  <c r="AM16" i="1"/>
  <c r="AZ31" i="1"/>
  <c r="BA31" i="1" s="1"/>
  <c r="BE31" i="1" s="1"/>
  <c r="AF52" i="1"/>
  <c r="AM52" i="1" s="1"/>
  <c r="AY67" i="1"/>
  <c r="AL52" i="1"/>
  <c r="AY32" i="1"/>
  <c r="AZ63" i="1"/>
  <c r="BA63" i="1" s="1"/>
  <c r="BE63" i="1" s="1"/>
  <c r="AZ19" i="1"/>
  <c r="BA19" i="1" s="1"/>
  <c r="BE19" i="1" s="1"/>
  <c r="AY59" i="1"/>
  <c r="AZ23" i="1"/>
  <c r="BA23" i="1" s="1"/>
  <c r="BH23" i="1" s="1"/>
  <c r="AZ17" i="1"/>
  <c r="BA17" i="1" s="1"/>
  <c r="BH17" i="1" s="1"/>
  <c r="BH65" i="1"/>
  <c r="BE65" i="1"/>
  <c r="BH10" i="1"/>
  <c r="BE10" i="1"/>
  <c r="BH32" i="1"/>
  <c r="BE32" i="1"/>
  <c r="BH67" i="1"/>
  <c r="BE67" i="1"/>
  <c r="AQ53" i="1"/>
  <c r="AU53" i="1"/>
  <c r="AP53" i="1"/>
  <c r="AR53" i="1"/>
  <c r="AV53" i="1"/>
  <c r="AO53" i="1"/>
  <c r="AS53" i="1"/>
  <c r="AT53" i="1"/>
  <c r="AR58" i="1"/>
  <c r="AV58" i="1"/>
  <c r="AQ58" i="1"/>
  <c r="AO58" i="1"/>
  <c r="AS58" i="1"/>
  <c r="AU58" i="1"/>
  <c r="AP58" i="1"/>
  <c r="AT58" i="1"/>
  <c r="AR22" i="1"/>
  <c r="AV22" i="1"/>
  <c r="AO22" i="1"/>
  <c r="AS22" i="1"/>
  <c r="AP22" i="1"/>
  <c r="AT22" i="1"/>
  <c r="AQ22" i="1"/>
  <c r="AU22" i="1"/>
  <c r="AP13" i="1"/>
  <c r="AT13" i="1"/>
  <c r="AQ13" i="1"/>
  <c r="AU13" i="1"/>
  <c r="AR13" i="1"/>
  <c r="AV13" i="1"/>
  <c r="AO13" i="1"/>
  <c r="AS13" i="1"/>
  <c r="AQ61" i="1"/>
  <c r="AU61" i="1"/>
  <c r="AP61" i="1"/>
  <c r="AR61" i="1"/>
  <c r="AV61" i="1"/>
  <c r="AO61" i="1"/>
  <c r="AS61" i="1"/>
  <c r="AT61" i="1"/>
  <c r="AP48" i="1"/>
  <c r="AT48" i="1"/>
  <c r="AQ48" i="1"/>
  <c r="AU48" i="1"/>
  <c r="AR48" i="1"/>
  <c r="AV48" i="1"/>
  <c r="AO48" i="1"/>
  <c r="AS48" i="1"/>
  <c r="AR62" i="1"/>
  <c r="AV62" i="1"/>
  <c r="AO62" i="1"/>
  <c r="AS62" i="1"/>
  <c r="AU62" i="1"/>
  <c r="AP62" i="1"/>
  <c r="AT62" i="1"/>
  <c r="AQ62" i="1"/>
  <c r="AP38" i="1"/>
  <c r="AT38" i="1"/>
  <c r="AQ38" i="1"/>
  <c r="AU38" i="1"/>
  <c r="AR38" i="1"/>
  <c r="AV38" i="1"/>
  <c r="AS38" i="1"/>
  <c r="AO38" i="1"/>
  <c r="AR36" i="1"/>
  <c r="AO36" i="1"/>
  <c r="AU36" i="1"/>
  <c r="AP34" i="1"/>
  <c r="AT34" i="1"/>
  <c r="AQ34" i="1"/>
  <c r="AU34" i="1"/>
  <c r="AR34" i="1"/>
  <c r="AV34" i="1"/>
  <c r="AS34" i="1"/>
  <c r="AO34" i="1"/>
  <c r="AR18" i="1"/>
  <c r="AV18" i="1"/>
  <c r="AO18" i="1"/>
  <c r="AS18" i="1"/>
  <c r="AP18" i="1"/>
  <c r="AT18" i="1"/>
  <c r="AQ18" i="1"/>
  <c r="AU18" i="1"/>
  <c r="AU35" i="1"/>
  <c r="AR35" i="1"/>
  <c r="AO35" i="1"/>
  <c r="AQ21" i="1"/>
  <c r="AU21" i="1"/>
  <c r="AR21" i="1"/>
  <c r="AV21" i="1"/>
  <c r="AO21" i="1"/>
  <c r="AS21" i="1"/>
  <c r="AP21" i="1"/>
  <c r="AT21" i="1"/>
  <c r="AQ14" i="1"/>
  <c r="AU14" i="1"/>
  <c r="AR14" i="1"/>
  <c r="AV14" i="1"/>
  <c r="AO14" i="1"/>
  <c r="AT14" i="1"/>
  <c r="AP14" i="1"/>
  <c r="AS14" i="1"/>
  <c r="BH59" i="1"/>
  <c r="BE59" i="1"/>
  <c r="AR30" i="1"/>
  <c r="AV30" i="1"/>
  <c r="AO30" i="1"/>
  <c r="AS30" i="1"/>
  <c r="AP30" i="1"/>
  <c r="AQ30" i="1"/>
  <c r="AT30" i="1"/>
  <c r="AU30" i="1"/>
  <c r="AR26" i="1"/>
  <c r="AV26" i="1"/>
  <c r="AO26" i="1"/>
  <c r="AS26" i="1"/>
  <c r="AP26" i="1"/>
  <c r="AT26" i="1"/>
  <c r="AQ26" i="1"/>
  <c r="AU26" i="1"/>
  <c r="AQ25" i="1"/>
  <c r="AU25" i="1"/>
  <c r="AR25" i="1"/>
  <c r="AV25" i="1"/>
  <c r="AO25" i="1"/>
  <c r="AS25" i="1"/>
  <c r="AP25" i="1"/>
  <c r="AT25" i="1"/>
  <c r="AP56" i="1"/>
  <c r="AT56" i="1"/>
  <c r="AS56" i="1"/>
  <c r="AQ56" i="1"/>
  <c r="AU56" i="1"/>
  <c r="AR56" i="1"/>
  <c r="AV56" i="1"/>
  <c r="AO56" i="1"/>
  <c r="AR33" i="1"/>
  <c r="AV33" i="1"/>
  <c r="AP33" i="1"/>
  <c r="AU33" i="1"/>
  <c r="AQ33" i="1"/>
  <c r="AS33" i="1"/>
  <c r="AT33" i="1"/>
  <c r="AO33" i="1"/>
  <c r="AQ49" i="1"/>
  <c r="AU49" i="1"/>
  <c r="AP49" i="1"/>
  <c r="AR49" i="1"/>
  <c r="AV49" i="1"/>
  <c r="AO49" i="1"/>
  <c r="AS49" i="1"/>
  <c r="AT49" i="1"/>
  <c r="AQ57" i="1"/>
  <c r="AU57" i="1"/>
  <c r="AT57" i="1"/>
  <c r="AR57" i="1"/>
  <c r="AV57" i="1"/>
  <c r="AO57" i="1"/>
  <c r="AS57" i="1"/>
  <c r="AP57" i="1"/>
  <c r="AQ46" i="1"/>
  <c r="AU46" i="1"/>
  <c r="AR46" i="1"/>
  <c r="AV46" i="1"/>
  <c r="AS46" i="1"/>
  <c r="AT46" i="1"/>
  <c r="AO46" i="1"/>
  <c r="AP46" i="1"/>
  <c r="BC73" i="1"/>
  <c r="BI73" i="1"/>
  <c r="BC93" i="1"/>
  <c r="BI93" i="1"/>
  <c r="BC89" i="1"/>
  <c r="BI89" i="1"/>
  <c r="BC106" i="1"/>
  <c r="BI106" i="1"/>
  <c r="BC99" i="1"/>
  <c r="BI99" i="1"/>
  <c r="BC83" i="1"/>
  <c r="BI83" i="1"/>
  <c r="BC67" i="1"/>
  <c r="BI67" i="1"/>
  <c r="BC100" i="1"/>
  <c r="BI100" i="1"/>
  <c r="BC92" i="1"/>
  <c r="BI92" i="1"/>
  <c r="BC84" i="1"/>
  <c r="BI84" i="1"/>
  <c r="BC76" i="1"/>
  <c r="BI76" i="1"/>
  <c r="BC81" i="1"/>
  <c r="BI81" i="1"/>
  <c r="BC65" i="1"/>
  <c r="BI65" i="1"/>
  <c r="BC79" i="1"/>
  <c r="BI79" i="1"/>
  <c r="BC95" i="1"/>
  <c r="BI95" i="1"/>
  <c r="BC77" i="1"/>
  <c r="BI77" i="1"/>
  <c r="BC59" i="1"/>
  <c r="BI59" i="1"/>
  <c r="BC98" i="1"/>
  <c r="BI98" i="1"/>
  <c r="BC90" i="1"/>
  <c r="BI90" i="1"/>
  <c r="BC82" i="1"/>
  <c r="BI82" i="1"/>
  <c r="BC74" i="1"/>
  <c r="BI74" i="1"/>
  <c r="BC10" i="1"/>
  <c r="BI10" i="1"/>
  <c r="BC101" i="1"/>
  <c r="BI101" i="1"/>
  <c r="BC71" i="1"/>
  <c r="BI71" i="1"/>
  <c r="BC108" i="1"/>
  <c r="BI108" i="1"/>
  <c r="BC91" i="1"/>
  <c r="BI91" i="1"/>
  <c r="BC69" i="1"/>
  <c r="BI69" i="1"/>
  <c r="BC105" i="1"/>
  <c r="BI105" i="1"/>
  <c r="BC96" i="1"/>
  <c r="BI96" i="1"/>
  <c r="BC88" i="1"/>
  <c r="BI88" i="1"/>
  <c r="BC80" i="1"/>
  <c r="BI80" i="1"/>
  <c r="BC72" i="1"/>
  <c r="BI72" i="1"/>
  <c r="BC32" i="1"/>
  <c r="BI32" i="1"/>
  <c r="BC107" i="1"/>
  <c r="BI107" i="1"/>
  <c r="BC97" i="1"/>
  <c r="BI97" i="1"/>
  <c r="BC104" i="1"/>
  <c r="BI104" i="1"/>
  <c r="BC85" i="1"/>
  <c r="BI85" i="1"/>
  <c r="BC103" i="1"/>
  <c r="BI103" i="1"/>
  <c r="BC87" i="1"/>
  <c r="BI87" i="1"/>
  <c r="BC75" i="1"/>
  <c r="BI75" i="1"/>
  <c r="BC102" i="1"/>
  <c r="BI102" i="1"/>
  <c r="BC94" i="1"/>
  <c r="BI94" i="1"/>
  <c r="BC86" i="1"/>
  <c r="BI86" i="1"/>
  <c r="BC78" i="1"/>
  <c r="BI78" i="1"/>
  <c r="BC70" i="1"/>
  <c r="BI70" i="1"/>
  <c r="BH28" i="1" l="1"/>
  <c r="BI28" i="1"/>
  <c r="AY28" i="1"/>
  <c r="AX51" i="1"/>
  <c r="AM51" i="1"/>
  <c r="AW51" i="1" s="1"/>
  <c r="BC28" i="1"/>
  <c r="AW27" i="1"/>
  <c r="AX44" i="1"/>
  <c r="AM44" i="1"/>
  <c r="AW41" i="1"/>
  <c r="AX41" i="1"/>
  <c r="AW9" i="1"/>
  <c r="AW60" i="1"/>
  <c r="AX66" i="1"/>
  <c r="AW66" i="1"/>
  <c r="AW12" i="1"/>
  <c r="BH31" i="1"/>
  <c r="AX37" i="1"/>
  <c r="AM37" i="1"/>
  <c r="AM29" i="1"/>
  <c r="AL29" i="1"/>
  <c r="AW15" i="1"/>
  <c r="AX60" i="1"/>
  <c r="AW64" i="1"/>
  <c r="AW55" i="1"/>
  <c r="AW16" i="1"/>
  <c r="BC31" i="1"/>
  <c r="BC63" i="1"/>
  <c r="BI31" i="1"/>
  <c r="BH19" i="1"/>
  <c r="BI19" i="1"/>
  <c r="BH63" i="1"/>
  <c r="BI23" i="1"/>
  <c r="BI63" i="1"/>
  <c r="BC23" i="1"/>
  <c r="AW52" i="1"/>
  <c r="AX52" i="1"/>
  <c r="BC19" i="1"/>
  <c r="BE23" i="1"/>
  <c r="BI17" i="1"/>
  <c r="BE17" i="1"/>
  <c r="BC17" i="1"/>
  <c r="AY26" i="1"/>
  <c r="AZ26" i="1"/>
  <c r="AZ30" i="1"/>
  <c r="AY30" i="1"/>
  <c r="AY21" i="1"/>
  <c r="AZ21" i="1"/>
  <c r="AY62" i="1"/>
  <c r="AZ62" i="1"/>
  <c r="AZ48" i="1"/>
  <c r="AY48" i="1"/>
  <c r="AY13" i="1"/>
  <c r="AZ13" i="1"/>
  <c r="AZ22" i="1"/>
  <c r="AY22" i="1"/>
  <c r="AZ57" i="1"/>
  <c r="AY57" i="1"/>
  <c r="AY49" i="1"/>
  <c r="AZ49" i="1"/>
  <c r="AZ56" i="1"/>
  <c r="AY56" i="1"/>
  <c r="AZ38" i="1"/>
  <c r="AY38" i="1"/>
  <c r="AY61" i="1"/>
  <c r="AZ61" i="1"/>
  <c r="AZ53" i="1"/>
  <c r="AY53" i="1"/>
  <c r="AZ33" i="1"/>
  <c r="AY33" i="1"/>
  <c r="AY25" i="1"/>
  <c r="AZ25" i="1"/>
  <c r="AY14" i="1"/>
  <c r="AZ14" i="1"/>
  <c r="AZ18" i="1"/>
  <c r="AY18" i="1"/>
  <c r="AZ46" i="1"/>
  <c r="AY46" i="1"/>
  <c r="AZ34" i="1"/>
  <c r="AY34" i="1"/>
  <c r="AY58" i="1"/>
  <c r="AZ58" i="1"/>
  <c r="AN45" i="1" l="1"/>
  <c r="AO45" i="1" s="1"/>
  <c r="AN51" i="1"/>
  <c r="AN50" i="1"/>
  <c r="AN27" i="1"/>
  <c r="AN68" i="1"/>
  <c r="AR68" i="1" s="1"/>
  <c r="AW44" i="1"/>
  <c r="AN12" i="1"/>
  <c r="AR12" i="1" s="1"/>
  <c r="AN44" i="1"/>
  <c r="AN39" i="1"/>
  <c r="AN41" i="1"/>
  <c r="AN40" i="1"/>
  <c r="AN9" i="1"/>
  <c r="AN37" i="1"/>
  <c r="AU37" i="1" s="1"/>
  <c r="AN60" i="1"/>
  <c r="AU60" i="1" s="1"/>
  <c r="AN16" i="1"/>
  <c r="AO16" i="1" s="1"/>
  <c r="AN42" i="1"/>
  <c r="AO42" i="1" s="1"/>
  <c r="AN52" i="1"/>
  <c r="AO52" i="1" s="1"/>
  <c r="AN55" i="1"/>
  <c r="AR55" i="1" s="1"/>
  <c r="AN66" i="1"/>
  <c r="AO66" i="1" s="1"/>
  <c r="AN43" i="1"/>
  <c r="AU43" i="1" s="1"/>
  <c r="AN47" i="1"/>
  <c r="AR47" i="1" s="1"/>
  <c r="AW37" i="1"/>
  <c r="AW29" i="1"/>
  <c r="AX29" i="1"/>
  <c r="AN29" i="1"/>
  <c r="AN54" i="1"/>
  <c r="AN20" i="1"/>
  <c r="AN11" i="1"/>
  <c r="AN24" i="1"/>
  <c r="AN64" i="1"/>
  <c r="AU64" i="1" s="1"/>
  <c r="AN15" i="1"/>
  <c r="BA34" i="1"/>
  <c r="BC34" i="1"/>
  <c r="BI34" i="1"/>
  <c r="BA46" i="1"/>
  <c r="BC46" i="1"/>
  <c r="BI46" i="1"/>
  <c r="BA33" i="1"/>
  <c r="BC33" i="1"/>
  <c r="BI33" i="1"/>
  <c r="BA22" i="1"/>
  <c r="BC22" i="1"/>
  <c r="BI22" i="1"/>
  <c r="BA48" i="1"/>
  <c r="BC48" i="1"/>
  <c r="BI48" i="1"/>
  <c r="BA21" i="1"/>
  <c r="BC21" i="1"/>
  <c r="BI21" i="1"/>
  <c r="BA58" i="1"/>
  <c r="BC58" i="1"/>
  <c r="BI58" i="1"/>
  <c r="BA25" i="1"/>
  <c r="BC25" i="1"/>
  <c r="BI25" i="1"/>
  <c r="BA56" i="1"/>
  <c r="BC56" i="1"/>
  <c r="BI56" i="1"/>
  <c r="BA57" i="1"/>
  <c r="BC57" i="1"/>
  <c r="BI57" i="1"/>
  <c r="BA13" i="1"/>
  <c r="BC13" i="1"/>
  <c r="BI13" i="1"/>
  <c r="BA62" i="1"/>
  <c r="BC62" i="1"/>
  <c r="BI62" i="1"/>
  <c r="BA18" i="1"/>
  <c r="BC18" i="1"/>
  <c r="BI18" i="1"/>
  <c r="BA61" i="1"/>
  <c r="BC61" i="1"/>
  <c r="BI61" i="1"/>
  <c r="BA49" i="1"/>
  <c r="BC49" i="1"/>
  <c r="BI49" i="1"/>
  <c r="BA30" i="1"/>
  <c r="BC30" i="1"/>
  <c r="BI30" i="1"/>
  <c r="BA14" i="1"/>
  <c r="BC14" i="1"/>
  <c r="BI14" i="1"/>
  <c r="BA53" i="1"/>
  <c r="BC53" i="1"/>
  <c r="BI53" i="1"/>
  <c r="BA38" i="1"/>
  <c r="BC38" i="1"/>
  <c r="BI38" i="1"/>
  <c r="BA26" i="1"/>
  <c r="BC26" i="1"/>
  <c r="BI26" i="1"/>
  <c r="AU45" i="1" l="1"/>
  <c r="AR45" i="1"/>
  <c r="AO27" i="1"/>
  <c r="AU27" i="1"/>
  <c r="AR27" i="1"/>
  <c r="AU50" i="1"/>
  <c r="AO50" i="1"/>
  <c r="AR50" i="1"/>
  <c r="AU51" i="1"/>
  <c r="AR51" i="1"/>
  <c r="AO51" i="1"/>
  <c r="AO37" i="1"/>
  <c r="AO68" i="1"/>
  <c r="AU68" i="1"/>
  <c r="AO12" i="1"/>
  <c r="AR41" i="1"/>
  <c r="AU41" i="1"/>
  <c r="AO41" i="1"/>
  <c r="AU40" i="1"/>
  <c r="AR40" i="1"/>
  <c r="AO40" i="1"/>
  <c r="AU12" i="1"/>
  <c r="AO39" i="1"/>
  <c r="AR39" i="1"/>
  <c r="AU39" i="1"/>
  <c r="AR9" i="1"/>
  <c r="AU9" i="1"/>
  <c r="AO9" i="1"/>
  <c r="AU44" i="1"/>
  <c r="AO44" i="1"/>
  <c r="AR44" i="1"/>
  <c r="AU66" i="1"/>
  <c r="AR37" i="1"/>
  <c r="AR16" i="1"/>
  <c r="AO55" i="1"/>
  <c r="AU55" i="1"/>
  <c r="AR60" i="1"/>
  <c r="AU16" i="1"/>
  <c r="AR66" i="1"/>
  <c r="AO60" i="1"/>
  <c r="AR42" i="1"/>
  <c r="AU42" i="1"/>
  <c r="AR43" i="1"/>
  <c r="AO43" i="1"/>
  <c r="AR52" i="1"/>
  <c r="AO64" i="1"/>
  <c r="AO47" i="1"/>
  <c r="AU47" i="1"/>
  <c r="AU52" i="1"/>
  <c r="AR64" i="1"/>
  <c r="AR54" i="1"/>
  <c r="AO54" i="1"/>
  <c r="AU54" i="1"/>
  <c r="AU24" i="1"/>
  <c r="AR24" i="1"/>
  <c r="AO24" i="1"/>
  <c r="AO29" i="1"/>
  <c r="AU29" i="1"/>
  <c r="AR29" i="1"/>
  <c r="AO11" i="1"/>
  <c r="AU11" i="1"/>
  <c r="AR11" i="1"/>
  <c r="AR15" i="1"/>
  <c r="AO15" i="1"/>
  <c r="AU15" i="1"/>
  <c r="AU20" i="1"/>
  <c r="AO20" i="1"/>
  <c r="AR20" i="1"/>
  <c r="BH14" i="1"/>
  <c r="BE14" i="1"/>
  <c r="BH49" i="1"/>
  <c r="BE49" i="1"/>
  <c r="BH58" i="1"/>
  <c r="BE58" i="1"/>
  <c r="BH48" i="1"/>
  <c r="BE48" i="1"/>
  <c r="BH46" i="1"/>
  <c r="BE46" i="1"/>
  <c r="BH26" i="1"/>
  <c r="BE26" i="1"/>
  <c r="BH53" i="1"/>
  <c r="BE53" i="1"/>
  <c r="BH18" i="1"/>
  <c r="BE18" i="1"/>
  <c r="BH13" i="1"/>
  <c r="BE13" i="1"/>
  <c r="BH21" i="1"/>
  <c r="BE21" i="1"/>
  <c r="BH38" i="1"/>
  <c r="BE38" i="1"/>
  <c r="BH62" i="1"/>
  <c r="BE62" i="1"/>
  <c r="BH56" i="1"/>
  <c r="BE56" i="1"/>
  <c r="BH33" i="1"/>
  <c r="BE33" i="1"/>
  <c r="BH30" i="1"/>
  <c r="BE30" i="1"/>
  <c r="BH61" i="1"/>
  <c r="BE61" i="1"/>
  <c r="BH57" i="1"/>
  <c r="BE57" i="1"/>
  <c r="BH25" i="1"/>
  <c r="BE25" i="1"/>
  <c r="BH22" i="1"/>
  <c r="BE22" i="1"/>
  <c r="BH34" i="1"/>
  <c r="BE34" i="1"/>
  <c r="AP36" i="1" l="1"/>
  <c r="AP35" i="1"/>
  <c r="AP51" i="1"/>
  <c r="AP27" i="1"/>
  <c r="AP50" i="1"/>
  <c r="AP44" i="1"/>
  <c r="AP41" i="1"/>
  <c r="AP45" i="1"/>
  <c r="AP39" i="1"/>
  <c r="AP40" i="1"/>
  <c r="AP9" i="1"/>
  <c r="AP68" i="1"/>
  <c r="AP12" i="1"/>
  <c r="AP37" i="1"/>
  <c r="AP29" i="1"/>
  <c r="AP20" i="1"/>
  <c r="AP24" i="1"/>
  <c r="AP11" i="1"/>
  <c r="AP15" i="1"/>
  <c r="AP54" i="1"/>
  <c r="AP47" i="1"/>
  <c r="AP64" i="1"/>
  <c r="AP16" i="1"/>
  <c r="AP43" i="1"/>
  <c r="AP42" i="1"/>
  <c r="AP52" i="1"/>
  <c r="AP55" i="1"/>
  <c r="AP66" i="1"/>
  <c r="AP60" i="1"/>
  <c r="AQ36" i="1" l="1"/>
  <c r="AS36" i="1" s="1"/>
  <c r="AQ35" i="1"/>
  <c r="AS35" i="1" s="1"/>
  <c r="AQ51" i="1"/>
  <c r="AS51" i="1" s="1"/>
  <c r="AQ27" i="1"/>
  <c r="AS27" i="1" s="1"/>
  <c r="AQ50" i="1"/>
  <c r="AS50" i="1" s="1"/>
  <c r="AQ44" i="1"/>
  <c r="AS44" i="1" s="1"/>
  <c r="AQ41" i="1"/>
  <c r="AS41" i="1" s="1"/>
  <c r="AQ45" i="1"/>
  <c r="AS45" i="1" s="1"/>
  <c r="AQ39" i="1"/>
  <c r="AS39" i="1" s="1"/>
  <c r="AQ40" i="1"/>
  <c r="AS40" i="1" s="1"/>
  <c r="AQ9" i="1"/>
  <c r="AS9" i="1" s="1"/>
  <c r="AQ68" i="1"/>
  <c r="AS68" i="1" s="1"/>
  <c r="AQ12" i="1"/>
  <c r="AS12" i="1" s="1"/>
  <c r="AQ54" i="1"/>
  <c r="AS54" i="1" s="1"/>
  <c r="AQ37" i="1"/>
  <c r="AS37" i="1" s="1"/>
  <c r="AQ24" i="1"/>
  <c r="AS24" i="1" s="1"/>
  <c r="AQ47" i="1"/>
  <c r="AS47" i="1" s="1"/>
  <c r="AQ64" i="1"/>
  <c r="AS64" i="1" s="1"/>
  <c r="AQ66" i="1"/>
  <c r="AS66" i="1" s="1"/>
  <c r="AQ55" i="1"/>
  <c r="AS55" i="1" s="1"/>
  <c r="AQ15" i="1"/>
  <c r="AS15" i="1" s="1"/>
  <c r="AQ52" i="1"/>
  <c r="AS52" i="1" s="1"/>
  <c r="AQ29" i="1"/>
  <c r="AS29" i="1" s="1"/>
  <c r="AQ11" i="1"/>
  <c r="AS11" i="1" s="1"/>
  <c r="AQ60" i="1"/>
  <c r="AS60" i="1" s="1"/>
  <c r="AQ43" i="1"/>
  <c r="AS43" i="1" s="1"/>
  <c r="AQ20" i="1"/>
  <c r="AS20" i="1" s="1"/>
  <c r="AQ16" i="1"/>
  <c r="AS16" i="1" s="1"/>
  <c r="AQ42" i="1"/>
  <c r="AS42" i="1" s="1"/>
  <c r="AT36" i="1" l="1"/>
  <c r="AV36" i="1" s="1"/>
  <c r="AZ36" i="1"/>
  <c r="AY36" i="1" s="1"/>
  <c r="AT35" i="1"/>
  <c r="AV35" i="1" s="1"/>
  <c r="AZ35" i="1"/>
  <c r="AY35" i="1" s="1"/>
  <c r="AT51" i="1"/>
  <c r="AV51" i="1" s="1"/>
  <c r="AZ51" i="1"/>
  <c r="AT27" i="1"/>
  <c r="AV27" i="1" s="1"/>
  <c r="AZ27" i="1"/>
  <c r="AT50" i="1"/>
  <c r="AV50" i="1" s="1"/>
  <c r="AZ50" i="1"/>
  <c r="AZ44" i="1"/>
  <c r="BA44" i="1" s="1"/>
  <c r="AT44" i="1"/>
  <c r="AV44" i="1" s="1"/>
  <c r="AZ41" i="1"/>
  <c r="AY41" i="1" s="1"/>
  <c r="AT41" i="1"/>
  <c r="AV41" i="1" s="1"/>
  <c r="AT45" i="1"/>
  <c r="AV45" i="1" s="1"/>
  <c r="AZ45" i="1"/>
  <c r="AY45" i="1" s="1"/>
  <c r="AT39" i="1"/>
  <c r="AV39" i="1" s="1"/>
  <c r="AZ39" i="1"/>
  <c r="AY39" i="1" s="1"/>
  <c r="AT40" i="1"/>
  <c r="AV40" i="1" s="1"/>
  <c r="AZ40" i="1"/>
  <c r="AY40" i="1" s="1"/>
  <c r="AT9" i="1"/>
  <c r="AV9" i="1" s="1"/>
  <c r="AT68" i="1"/>
  <c r="AV68" i="1" s="1"/>
  <c r="AZ68" i="1"/>
  <c r="AY68" i="1" s="1"/>
  <c r="AT12" i="1"/>
  <c r="AV12" i="1" s="1"/>
  <c r="AZ12" i="1"/>
  <c r="AY12" i="1" s="1"/>
  <c r="AZ37" i="1"/>
  <c r="AY37" i="1" s="1"/>
  <c r="AT37" i="1"/>
  <c r="AV37" i="1" s="1"/>
  <c r="AZ64" i="1"/>
  <c r="BA64" i="1" s="1"/>
  <c r="AZ47" i="1"/>
  <c r="AY47" i="1" s="1"/>
  <c r="AT43" i="1"/>
  <c r="AV43" i="1" s="1"/>
  <c r="AZ43" i="1"/>
  <c r="AY43" i="1" s="1"/>
  <c r="AZ52" i="1"/>
  <c r="BA52" i="1" s="1"/>
  <c r="BH52" i="1" s="1"/>
  <c r="AT52" i="1"/>
  <c r="AV52" i="1" s="1"/>
  <c r="AT54" i="1"/>
  <c r="AV54" i="1" s="1"/>
  <c r="AT29" i="1"/>
  <c r="AV29" i="1" s="1"/>
  <c r="AZ42" i="1"/>
  <c r="BC42" i="1" s="1"/>
  <c r="AZ20" i="1"/>
  <c r="AY20" i="1" s="1"/>
  <c r="AZ15" i="1"/>
  <c r="AY15" i="1" s="1"/>
  <c r="AZ29" i="1"/>
  <c r="BC29" i="1" s="1"/>
  <c r="AT16" i="1"/>
  <c r="AV16" i="1" s="1"/>
  <c r="AZ55" i="1"/>
  <c r="BC55" i="1" s="1"/>
  <c r="AZ66" i="1"/>
  <c r="BC66" i="1" s="1"/>
  <c r="AZ11" i="1"/>
  <c r="BI11" i="1" s="1"/>
  <c r="AZ24" i="1"/>
  <c r="AY24" i="1" s="1"/>
  <c r="AZ60" i="1"/>
  <c r="AY60" i="1" s="1"/>
  <c r="AZ54" i="1"/>
  <c r="BC54" i="1" s="1"/>
  <c r="AZ16" i="1"/>
  <c r="AY16" i="1" s="1"/>
  <c r="AT64" i="1"/>
  <c r="AV64" i="1" s="1"/>
  <c r="AT42" i="1"/>
  <c r="AV42" i="1" s="1"/>
  <c r="AT20" i="1"/>
  <c r="AV20" i="1" s="1"/>
  <c r="AT15" i="1"/>
  <c r="AV15" i="1" s="1"/>
  <c r="AT47" i="1"/>
  <c r="AV47" i="1" s="1"/>
  <c r="AT55" i="1"/>
  <c r="AV55" i="1" s="1"/>
  <c r="AT66" i="1"/>
  <c r="AV66" i="1" s="1"/>
  <c r="AT11" i="1"/>
  <c r="AV11" i="1" s="1"/>
  <c r="AT24" i="1"/>
  <c r="AV24" i="1" s="1"/>
  <c r="AT60" i="1"/>
  <c r="AV60" i="1" s="1"/>
  <c r="BA36" i="1" l="1"/>
  <c r="BC36" i="1"/>
  <c r="BI36" i="1"/>
  <c r="BC35" i="1"/>
  <c r="BA35" i="1"/>
  <c r="BI35" i="1"/>
  <c r="BA51" i="1"/>
  <c r="BI51" i="1"/>
  <c r="BC51" i="1"/>
  <c r="AY51" i="1"/>
  <c r="BA27" i="1"/>
  <c r="BC27" i="1"/>
  <c r="BI27" i="1"/>
  <c r="AY27" i="1"/>
  <c r="BI50" i="1"/>
  <c r="BA50" i="1"/>
  <c r="BC50" i="1"/>
  <c r="AY50" i="1"/>
  <c r="AY44" i="1"/>
  <c r="BI44" i="1"/>
  <c r="BC44" i="1"/>
  <c r="BH44" i="1"/>
  <c r="BE44" i="1"/>
  <c r="BA41" i="1"/>
  <c r="BI41" i="1"/>
  <c r="BC41" i="1"/>
  <c r="BA45" i="1"/>
  <c r="BC45" i="1"/>
  <c r="BI45" i="1"/>
  <c r="BA39" i="1"/>
  <c r="BC39" i="1"/>
  <c r="BI39" i="1"/>
  <c r="BC40" i="1"/>
  <c r="BI40" i="1"/>
  <c r="BA40" i="1"/>
  <c r="AZ9" i="1"/>
  <c r="AY52" i="1"/>
  <c r="BI68" i="1"/>
  <c r="BC68" i="1"/>
  <c r="BA68" i="1"/>
  <c r="AY64" i="1"/>
  <c r="BI64" i="1"/>
  <c r="BI52" i="1"/>
  <c r="BC64" i="1"/>
  <c r="BC52" i="1"/>
  <c r="BA42" i="1"/>
  <c r="BE42" i="1" s="1"/>
  <c r="BE52" i="1"/>
  <c r="BI24" i="1"/>
  <c r="BA29" i="1"/>
  <c r="BE29" i="1" s="1"/>
  <c r="AY11" i="1"/>
  <c r="BI16" i="1"/>
  <c r="BI29" i="1"/>
  <c r="BC11" i="1"/>
  <c r="BC43" i="1"/>
  <c r="BA43" i="1"/>
  <c r="BH43" i="1" s="1"/>
  <c r="BA12" i="1"/>
  <c r="BC12" i="1"/>
  <c r="BI12" i="1"/>
  <c r="BC20" i="1"/>
  <c r="BA55" i="1"/>
  <c r="BH55" i="1" s="1"/>
  <c r="BC60" i="1"/>
  <c r="BC47" i="1"/>
  <c r="AY55" i="1"/>
  <c r="BA20" i="1"/>
  <c r="BE20" i="1" s="1"/>
  <c r="BA60" i="1"/>
  <c r="BH60" i="1" s="1"/>
  <c r="BI47" i="1"/>
  <c r="BI20" i="1"/>
  <c r="BA47" i="1"/>
  <c r="BH47" i="1" s="1"/>
  <c r="BI55" i="1"/>
  <c r="BI60" i="1"/>
  <c r="BI43" i="1"/>
  <c r="BA54" i="1"/>
  <c r="BE54" i="1" s="1"/>
  <c r="AY42" i="1"/>
  <c r="BA24" i="1"/>
  <c r="BE24" i="1" s="1"/>
  <c r="BI15" i="1"/>
  <c r="BI66" i="1"/>
  <c r="BI42" i="1"/>
  <c r="BA16" i="1"/>
  <c r="BH16" i="1" s="1"/>
  <c r="BA11" i="1"/>
  <c r="BE11" i="1" s="1"/>
  <c r="AY29" i="1"/>
  <c r="BC16" i="1"/>
  <c r="AY66" i="1"/>
  <c r="BC24" i="1"/>
  <c r="BA66" i="1"/>
  <c r="BE66" i="1" s="1"/>
  <c r="BA15" i="1"/>
  <c r="BH15" i="1" s="1"/>
  <c r="BA37" i="1"/>
  <c r="BI37" i="1"/>
  <c r="BC37" i="1"/>
  <c r="AY54" i="1"/>
  <c r="BI54" i="1"/>
  <c r="BC15" i="1"/>
  <c r="BE64" i="1"/>
  <c r="BH64" i="1"/>
  <c r="BE36" i="1" l="1"/>
  <c r="BH36" i="1"/>
  <c r="BH35" i="1"/>
  <c r="BE35" i="1"/>
  <c r="BH51" i="1"/>
  <c r="BE51" i="1"/>
  <c r="BE27" i="1"/>
  <c r="BH27" i="1"/>
  <c r="BH50" i="1"/>
  <c r="BE50" i="1"/>
  <c r="BH41" i="1"/>
  <c r="BE41" i="1"/>
  <c r="BE45" i="1"/>
  <c r="BH45" i="1"/>
  <c r="BH39" i="1"/>
  <c r="BE39" i="1"/>
  <c r="BE40" i="1"/>
  <c r="BH40" i="1"/>
  <c r="BA9" i="1"/>
  <c r="BI9" i="1"/>
  <c r="BC9" i="1"/>
  <c r="AY9" i="1"/>
  <c r="BE68" i="1"/>
  <c r="BH68" i="1"/>
  <c r="BE60" i="1"/>
  <c r="BH29" i="1"/>
  <c r="BH42" i="1"/>
  <c r="BE43" i="1"/>
  <c r="BE55" i="1"/>
  <c r="BH20" i="1"/>
  <c r="BE47" i="1"/>
  <c r="BH54" i="1"/>
  <c r="BE12" i="1"/>
  <c r="BH12" i="1"/>
  <c r="BH66" i="1"/>
  <c r="BH11" i="1"/>
  <c r="BC4" i="1"/>
  <c r="BJ79" i="1" s="1"/>
  <c r="BH24" i="1"/>
  <c r="BE16" i="1"/>
  <c r="BE15" i="1"/>
  <c r="BH37" i="1"/>
  <c r="BE37" i="1"/>
  <c r="BE9" i="1" l="1"/>
  <c r="BF17" i="1" s="1"/>
  <c r="BH9" i="1"/>
  <c r="BJ68" i="1"/>
  <c r="BJ73" i="1"/>
  <c r="BJ61" i="1"/>
  <c r="BK82" i="1"/>
  <c r="BJ46" i="1"/>
  <c r="BK99" i="1"/>
  <c r="BK101" i="1"/>
  <c r="BK58" i="1"/>
  <c r="BK72" i="1"/>
  <c r="BK59" i="1"/>
  <c r="BJ100" i="1"/>
  <c r="BK73" i="1"/>
  <c r="BK96" i="1"/>
  <c r="BJ87" i="1"/>
  <c r="BK107" i="1"/>
  <c r="BJ107" i="1"/>
  <c r="BJ44" i="1"/>
  <c r="BK102" i="1"/>
  <c r="BJ102" i="1"/>
  <c r="BK56" i="1"/>
  <c r="BK54" i="1"/>
  <c r="BK67" i="1"/>
  <c r="BK89" i="1"/>
  <c r="BK50" i="1"/>
  <c r="BK83" i="1"/>
  <c r="BK95" i="1"/>
  <c r="BJ63" i="1"/>
  <c r="BJ108" i="1"/>
  <c r="BK100" i="1"/>
  <c r="BK55" i="1"/>
  <c r="BJ76" i="1"/>
  <c r="BK92" i="1"/>
  <c r="BJ96" i="1"/>
  <c r="BK88" i="1"/>
  <c r="BJ50" i="1"/>
  <c r="BJ105" i="1"/>
  <c r="BJ77" i="1"/>
  <c r="BJ45" i="1"/>
  <c r="BJ91" i="1"/>
  <c r="BK68" i="1"/>
  <c r="BK52" i="1"/>
  <c r="BJ74" i="1"/>
  <c r="BK74" i="1"/>
  <c r="BJ99" i="1"/>
  <c r="BJ106" i="1"/>
  <c r="BK105" i="1"/>
  <c r="BJ38" i="1"/>
  <c r="BK94" i="1"/>
  <c r="BK60" i="1"/>
  <c r="BJ81" i="1"/>
  <c r="BK71" i="1"/>
  <c r="BJ56" i="1"/>
  <c r="BJ92" i="1"/>
  <c r="BJ53" i="1"/>
  <c r="BJ103" i="1"/>
  <c r="BJ89" i="1"/>
  <c r="BK79" i="1"/>
  <c r="BJ59" i="1"/>
  <c r="BJ86" i="1"/>
  <c r="BJ82" i="1"/>
  <c r="BK62" i="1"/>
  <c r="BK44" i="1"/>
  <c r="BJ49" i="1"/>
  <c r="BJ62" i="1"/>
  <c r="BJ40" i="1"/>
  <c r="BJ90" i="1"/>
  <c r="BK46" i="1"/>
  <c r="BJ55" i="1"/>
  <c r="BK39" i="1"/>
  <c r="BJ101" i="1"/>
  <c r="BK77" i="1"/>
  <c r="BJ43" i="1"/>
  <c r="BK45" i="1"/>
  <c r="BJ58" i="1"/>
  <c r="BK90" i="1"/>
  <c r="BK43" i="1"/>
  <c r="BJ66" i="1"/>
  <c r="BJ39" i="1"/>
  <c r="BJ41" i="1"/>
  <c r="BJ84" i="1"/>
  <c r="BK47" i="1"/>
  <c r="BK51" i="1"/>
  <c r="BJ51" i="1"/>
  <c r="BJ98" i="1"/>
  <c r="BJ72" i="1"/>
  <c r="BJ64" i="1"/>
  <c r="BK57" i="1"/>
  <c r="BK66" i="1"/>
  <c r="BK106" i="1"/>
  <c r="BK84" i="1"/>
  <c r="BK76" i="1"/>
  <c r="BJ71" i="1"/>
  <c r="BK103" i="1"/>
  <c r="BJ95" i="1"/>
  <c r="BK81" i="1"/>
  <c r="BK49" i="1"/>
  <c r="BK70" i="1"/>
  <c r="BJ54" i="1"/>
  <c r="BJ70" i="1"/>
  <c r="BK93" i="1"/>
  <c r="BJ80" i="1"/>
  <c r="BK65" i="1"/>
  <c r="BK40" i="1"/>
  <c r="BJ93" i="1"/>
  <c r="BK97" i="1"/>
  <c r="BJ48" i="1"/>
  <c r="BK48" i="1"/>
  <c r="BK61" i="1"/>
  <c r="BK78" i="1"/>
  <c r="BK75" i="1"/>
  <c r="BJ78" i="1"/>
  <c r="BJ60" i="1"/>
  <c r="BJ83" i="1"/>
  <c r="BK42" i="1"/>
  <c r="BK53" i="1"/>
  <c r="BK86" i="1"/>
  <c r="BJ97" i="1"/>
  <c r="BK87" i="1"/>
  <c r="BK108" i="1"/>
  <c r="BK91" i="1"/>
  <c r="BK64" i="1"/>
  <c r="BK80" i="1"/>
  <c r="BJ47" i="1"/>
  <c r="BK85" i="1"/>
  <c r="BJ85" i="1"/>
  <c r="BK41" i="1"/>
  <c r="BJ42" i="1"/>
  <c r="BJ104" i="1"/>
  <c r="BK104" i="1"/>
  <c r="BJ52" i="1"/>
  <c r="BK38" i="1"/>
  <c r="BJ57" i="1"/>
  <c r="BK98" i="1"/>
  <c r="BJ88" i="1"/>
  <c r="BK69" i="1"/>
  <c r="BJ65" i="1"/>
  <c r="BJ67" i="1"/>
  <c r="BK63" i="1"/>
  <c r="BJ69" i="1"/>
  <c r="BJ75" i="1"/>
  <c r="BJ94" i="1"/>
  <c r="BF55" i="1" l="1"/>
  <c r="BF12" i="1"/>
  <c r="BF49" i="1"/>
  <c r="BF43" i="1"/>
  <c r="BF56" i="1"/>
  <c r="BF21" i="1"/>
  <c r="BF42" i="1"/>
  <c r="BF28" i="1"/>
  <c r="BF23" i="1"/>
  <c r="BF10" i="1"/>
  <c r="BF60" i="1"/>
  <c r="BF63" i="1"/>
  <c r="BF24" i="1"/>
  <c r="BF45" i="1"/>
  <c r="BF52" i="1"/>
  <c r="BF33" i="1"/>
  <c r="BF46" i="1"/>
  <c r="BF16" i="1"/>
  <c r="BF15" i="1"/>
  <c r="BF14" i="1"/>
  <c r="BF37" i="1"/>
  <c r="BF36" i="1"/>
  <c r="BF51" i="1"/>
  <c r="BF29" i="1"/>
  <c r="BF34" i="1"/>
  <c r="BF20" i="1"/>
  <c r="BF39" i="1"/>
  <c r="BF54" i="1"/>
  <c r="BF53" i="1"/>
  <c r="BF64" i="1"/>
  <c r="BF47" i="1"/>
  <c r="BF40" i="1"/>
  <c r="BF50" i="1"/>
  <c r="BF32" i="1"/>
  <c r="BF22" i="1"/>
  <c r="BF67" i="1"/>
  <c r="BF61" i="1"/>
  <c r="BF57" i="1"/>
  <c r="BF9" i="1"/>
  <c r="BF66" i="1"/>
  <c r="BF65" i="1"/>
  <c r="BF13" i="1"/>
  <c r="BF59" i="1"/>
  <c r="BF18" i="1"/>
  <c r="BF44" i="1"/>
  <c r="BF30" i="1"/>
  <c r="BF68" i="1"/>
  <c r="BF19" i="1"/>
  <c r="BF11" i="1"/>
  <c r="BF35" i="1"/>
  <c r="BF41" i="1"/>
  <c r="BF31" i="1"/>
  <c r="BF48" i="1"/>
  <c r="BF25" i="1"/>
  <c r="BF62" i="1"/>
  <c r="BF27" i="1"/>
  <c r="BF58" i="1"/>
  <c r="BF38" i="1"/>
  <c r="BF26" i="1"/>
  <c r="BJ37" i="1" l="1"/>
  <c r="BK37" i="1"/>
  <c r="BK36" i="1"/>
  <c r="BJ36" i="1"/>
  <c r="BK35" i="1"/>
  <c r="BJ35" i="1"/>
  <c r="BJ34" i="1"/>
  <c r="BK34" i="1"/>
  <c r="BK33" i="1"/>
  <c r="BJ33" i="1"/>
  <c r="BJ32" i="1"/>
  <c r="BK32" i="1"/>
  <c r="BK31" i="1"/>
  <c r="BJ31" i="1"/>
  <c r="BK29" i="1"/>
  <c r="BJ29" i="1"/>
  <c r="BK30" i="1"/>
  <c r="BJ30" i="1"/>
  <c r="BJ28" i="1"/>
  <c r="BJ9" i="1"/>
  <c r="BJ12" i="1"/>
  <c r="BK9" i="1"/>
  <c r="BK17" i="1"/>
  <c r="BK12" i="1"/>
  <c r="BJ17" i="1"/>
  <c r="BK21" i="1"/>
  <c r="BJ21" i="1"/>
  <c r="BK19" i="1"/>
  <c r="BK24" i="1"/>
  <c r="BJ19" i="1"/>
  <c r="BJ24" i="1"/>
  <c r="BK28" i="1"/>
  <c r="BJ26" i="1"/>
  <c r="BK20" i="1"/>
  <c r="BJ16" i="1"/>
  <c r="BK22" i="1"/>
  <c r="BJ23" i="1"/>
  <c r="BJ18" i="1"/>
  <c r="BK15" i="1"/>
  <c r="BK16" i="1"/>
  <c r="BJ13" i="1"/>
  <c r="BJ15" i="1"/>
  <c r="BJ11" i="1"/>
  <c r="BK10" i="1"/>
  <c r="BK18" i="1"/>
  <c r="BK26" i="1"/>
  <c r="BK13" i="1"/>
  <c r="BJ20" i="1"/>
  <c r="BK14" i="1"/>
  <c r="BK27" i="1"/>
  <c r="BJ14" i="1"/>
  <c r="BK23" i="1"/>
  <c r="BJ10" i="1"/>
  <c r="BK11" i="1"/>
  <c r="BK25" i="1"/>
  <c r="BJ22" i="1"/>
  <c r="BJ25" i="1"/>
  <c r="BJ27" i="1"/>
</calcChain>
</file>

<file path=xl/sharedStrings.xml><?xml version="1.0" encoding="utf-8"?>
<sst xmlns="http://schemas.openxmlformats.org/spreadsheetml/2006/main" count="357" uniqueCount="128">
  <si>
    <t>Scoring and Ranking</t>
  </si>
  <si>
    <t>Rank</t>
  </si>
  <si>
    <t>Score</t>
  </si>
  <si>
    <t>Points</t>
  </si>
  <si>
    <t>Final Score</t>
  </si>
  <si>
    <t>Time</t>
  </si>
  <si>
    <t>Tier</t>
  </si>
  <si>
    <t>Tiebreaker</t>
  </si>
  <si>
    <t>Final Ranking</t>
  </si>
  <si>
    <t>Team Name</t>
  </si>
  <si>
    <t>Direct all questions to Peter Hung (scoresheets@soinc.org).</t>
  </si>
  <si>
    <t>Team present?</t>
  </si>
  <si>
    <t>Team Name and State</t>
  </si>
  <si>
    <t>Run 1</t>
  </si>
  <si>
    <t>Run 2</t>
  </si>
  <si>
    <t>Tie Breaker</t>
  </si>
  <si>
    <t>Better Run</t>
  </si>
  <si>
    <t>Better Run Score</t>
  </si>
  <si>
    <t>Tie Breaker 1</t>
  </si>
  <si>
    <t>Tie Breaker 2</t>
  </si>
  <si>
    <t>Run 1 Status</t>
  </si>
  <si>
    <t>Run 1 Distance Score</t>
  </si>
  <si>
    <t>Run 1 Time Score</t>
  </si>
  <si>
    <t>Run 1 Penalties</t>
  </si>
  <si>
    <t>Run 1 Score</t>
  </si>
  <si>
    <t>Run 2 Status</t>
  </si>
  <si>
    <t>Run 2 Distance Score</t>
  </si>
  <si>
    <t>Run 2 Time Score</t>
  </si>
  <si>
    <t>Run 2 Penalties</t>
  </si>
  <si>
    <t>Run 2 Score</t>
  </si>
  <si>
    <t>Non-Scored Adjusted Run</t>
  </si>
  <si>
    <t>Rank after Tie Breaker 1</t>
  </si>
  <si>
    <t>Better Run Tier</t>
  </si>
  <si>
    <r>
      <t>1.</t>
    </r>
    <r>
      <rPr>
        <sz val="10"/>
        <rFont val="Arial"/>
        <family val="2"/>
      </rPr>
      <t xml:space="preserve"> Vehicle &amp; material impounded</t>
    </r>
  </si>
  <si>
    <r>
      <t>2.</t>
    </r>
    <r>
      <rPr>
        <sz val="10"/>
        <rFont val="Arial"/>
        <family val="2"/>
      </rPr>
      <t xml:space="preserve"> No lithium and/or lead acid batteries</t>
    </r>
  </si>
  <si>
    <r>
      <rPr>
        <b/>
        <sz val="10"/>
        <rFont val="Arial"/>
        <family val="2"/>
      </rPr>
      <t>3.</t>
    </r>
    <r>
      <rPr>
        <sz val="10"/>
        <rFont val="Arial"/>
        <family val="2"/>
      </rPr>
      <t xml:space="preserve"> # of N's under Construction</t>
    </r>
  </si>
  <si>
    <r>
      <rPr>
        <b/>
        <sz val="10"/>
        <rFont val="Arial"/>
        <family val="2"/>
      </rPr>
      <t>4.</t>
    </r>
    <r>
      <rPr>
        <sz val="10"/>
        <rFont val="Arial"/>
        <family val="2"/>
      </rPr>
      <t xml:space="preserve"> # of Additional N's under Constr.</t>
    </r>
  </si>
  <si>
    <r>
      <rPr>
        <b/>
        <sz val="10"/>
        <rFont val="Arial"/>
        <family val="2"/>
      </rPr>
      <t>5.</t>
    </r>
    <r>
      <rPr>
        <sz val="10"/>
        <rFont val="Arial"/>
        <family val="2"/>
      </rPr>
      <t xml:space="preserve"> # of N's under Competition</t>
    </r>
  </si>
  <si>
    <r>
      <t>6.</t>
    </r>
    <r>
      <rPr>
        <sz val="10"/>
        <rFont val="Arial"/>
        <family val="2"/>
      </rPr>
      <t xml:space="preserve"> Distance to target (cm)</t>
    </r>
  </si>
  <si>
    <r>
      <rPr>
        <b/>
        <sz val="10"/>
        <rFont val="Arial"/>
        <family val="2"/>
      </rPr>
      <t xml:space="preserve">7. </t>
    </r>
    <r>
      <rPr>
        <sz val="10"/>
        <rFont val="Arial"/>
        <family val="2"/>
      </rPr>
      <t>Timer 1 (in sec)</t>
    </r>
  </si>
  <si>
    <r>
      <rPr>
        <b/>
        <sz val="10"/>
        <rFont val="Arial"/>
        <family val="2"/>
      </rPr>
      <t xml:space="preserve">8. </t>
    </r>
    <r>
      <rPr>
        <sz val="10"/>
        <rFont val="Arial"/>
        <family val="2"/>
      </rPr>
      <t>Timer 2 (in sec)</t>
    </r>
  </si>
  <si>
    <r>
      <rPr>
        <b/>
        <sz val="10"/>
        <rFont val="Arial"/>
        <family val="2"/>
      </rPr>
      <t>9.</t>
    </r>
    <r>
      <rPr>
        <sz val="10"/>
        <rFont val="Arial"/>
        <family val="2"/>
      </rPr>
      <t xml:space="preserve"> Timer 3 (in sec)</t>
    </r>
  </si>
  <si>
    <r>
      <rPr>
        <b/>
        <sz val="10"/>
        <rFont val="Arial"/>
        <family val="2"/>
      </rPr>
      <t>10.</t>
    </r>
    <r>
      <rPr>
        <sz val="10"/>
        <rFont val="Arial"/>
        <family val="2"/>
      </rPr>
      <t xml:space="preserve"> Center Line Bonus</t>
    </r>
  </si>
  <si>
    <r>
      <rPr>
        <b/>
        <sz val="10"/>
        <rFont val="Arial"/>
        <family val="2"/>
      </rPr>
      <t>11.</t>
    </r>
    <r>
      <rPr>
        <sz val="10"/>
        <rFont val="Arial"/>
        <family val="2"/>
      </rPr>
      <t xml:space="preserve"> Failed run?</t>
    </r>
  </si>
  <si>
    <r>
      <rPr>
        <b/>
        <sz val="10"/>
        <rFont val="Arial"/>
        <family val="2"/>
      </rPr>
      <t>12.</t>
    </r>
    <r>
      <rPr>
        <sz val="10"/>
        <rFont val="Arial"/>
        <family val="2"/>
      </rPr>
      <t xml:space="preserve"> # of Additional N's under Constr.</t>
    </r>
  </si>
  <si>
    <r>
      <rPr>
        <b/>
        <sz val="10"/>
        <rFont val="Arial"/>
        <family val="2"/>
      </rPr>
      <t>13.</t>
    </r>
    <r>
      <rPr>
        <sz val="10"/>
        <rFont val="Arial"/>
        <family val="2"/>
      </rPr>
      <t xml:space="preserve"> # of N's under Competition</t>
    </r>
  </si>
  <si>
    <r>
      <t>14.</t>
    </r>
    <r>
      <rPr>
        <sz val="10"/>
        <rFont val="Arial"/>
        <family val="2"/>
      </rPr>
      <t xml:space="preserve"> Distance to target (cm)</t>
    </r>
  </si>
  <si>
    <r>
      <rPr>
        <b/>
        <sz val="10"/>
        <rFont val="Arial"/>
        <family val="2"/>
      </rPr>
      <t xml:space="preserve">15. </t>
    </r>
    <r>
      <rPr>
        <sz val="10"/>
        <rFont val="Arial"/>
        <family val="2"/>
      </rPr>
      <t>Timer 1 (in sec)</t>
    </r>
  </si>
  <si>
    <r>
      <rPr>
        <b/>
        <sz val="10"/>
        <rFont val="Arial"/>
        <family val="2"/>
      </rPr>
      <t xml:space="preserve">16. </t>
    </r>
    <r>
      <rPr>
        <sz val="10"/>
        <rFont val="Arial"/>
        <family val="2"/>
      </rPr>
      <t>Timer 2 (in sec)</t>
    </r>
  </si>
  <si>
    <r>
      <rPr>
        <b/>
        <sz val="10"/>
        <rFont val="Arial"/>
        <family val="2"/>
      </rPr>
      <t>17.</t>
    </r>
    <r>
      <rPr>
        <sz val="10"/>
        <rFont val="Arial"/>
        <family val="2"/>
      </rPr>
      <t xml:space="preserve"> Timer 3 (in sec)</t>
    </r>
  </si>
  <si>
    <r>
      <rPr>
        <b/>
        <sz val="10"/>
        <rFont val="Arial"/>
        <family val="2"/>
      </rPr>
      <t>18.</t>
    </r>
    <r>
      <rPr>
        <sz val="10"/>
        <rFont val="Arial"/>
        <family val="2"/>
      </rPr>
      <t xml:space="preserve"> Center Line Bonus</t>
    </r>
  </si>
  <si>
    <r>
      <rPr>
        <b/>
        <sz val="10"/>
        <rFont val="Arial"/>
        <family val="2"/>
      </rPr>
      <t>19.</t>
    </r>
    <r>
      <rPr>
        <sz val="10"/>
        <rFont val="Arial"/>
        <family val="2"/>
      </rPr>
      <t xml:space="preserve"> Failed Run?</t>
    </r>
  </si>
  <si>
    <r>
      <t xml:space="preserve">20. </t>
    </r>
    <r>
      <rPr>
        <sz val="10"/>
        <rFont val="Arial"/>
        <family val="2"/>
      </rPr>
      <t>Practice logs incomplete</t>
    </r>
  </si>
  <si>
    <r>
      <rPr>
        <b/>
        <sz val="10"/>
        <rFont val="Arial"/>
        <family val="2"/>
      </rPr>
      <t xml:space="preserve">21. </t>
    </r>
    <r>
      <rPr>
        <sz val="10"/>
        <rFont val="Arial"/>
        <family val="2"/>
      </rPr>
      <t>Bad Sportsmanship (DQ)</t>
    </r>
  </si>
  <si>
    <t>Complete</t>
  </si>
  <si>
    <t>Incomplete</t>
  </si>
  <si>
    <t>Missing</t>
  </si>
  <si>
    <t>Distance Score</t>
  </si>
  <si>
    <t>Time Score</t>
  </si>
  <si>
    <t>Tie 1 Adjusted Rank</t>
  </si>
  <si>
    <t>Tie 2 Adjusted Rank</t>
  </si>
  <si>
    <t>Rank after Tie Breaker 2</t>
  </si>
  <si>
    <t>Tie 3 Adjusted Rank</t>
  </si>
  <si>
    <t>Tie Breaker 3</t>
  </si>
  <si>
    <t>Clarksville X</t>
  </si>
  <si>
    <t>Clarksville Y</t>
  </si>
  <si>
    <t>C.P. Weber X</t>
  </si>
  <si>
    <t>C.P. Weber Y</t>
  </si>
  <si>
    <t>Bala Cynwyd X</t>
  </si>
  <si>
    <t>Bala Cynwyd Y</t>
  </si>
  <si>
    <t>Rocky Run X</t>
  </si>
  <si>
    <t>Rocky Run Y</t>
  </si>
  <si>
    <t>Whitehall Coplay X</t>
  </si>
  <si>
    <t>Whitehall Coplay Y</t>
  </si>
  <si>
    <t>Orefield</t>
  </si>
  <si>
    <t>Devon Prep</t>
  </si>
  <si>
    <t>Luther Jackson X</t>
  </si>
  <si>
    <t>Luther Jackson Y</t>
  </si>
  <si>
    <t>Eagle View</t>
  </si>
  <si>
    <t>Garnet Valley</t>
  </si>
  <si>
    <t>Abington Heights X</t>
  </si>
  <si>
    <t>Abington Heights Y</t>
  </si>
  <si>
    <t>Tredyffrin-Easttown X</t>
  </si>
  <si>
    <t>Tredyffrin-Easttown Y</t>
  </si>
  <si>
    <t>Seton Catholic X</t>
  </si>
  <si>
    <t>Seton Catholic Y</t>
  </si>
  <si>
    <t>Kutztown</t>
  </si>
  <si>
    <t>Northley</t>
  </si>
  <si>
    <t>Bedford X</t>
  </si>
  <si>
    <t>Bedford Y</t>
  </si>
  <si>
    <t>Paul J. Gelinas X</t>
  </si>
  <si>
    <t>Paul J. Gelinas Y</t>
  </si>
  <si>
    <t>St. Ann X</t>
  </si>
  <si>
    <t>St. Ann Y</t>
  </si>
  <si>
    <t>Springhouse X</t>
  </si>
  <si>
    <t>Springhouse Y</t>
  </si>
  <si>
    <t>Community X</t>
  </si>
  <si>
    <t>Community Y</t>
  </si>
  <si>
    <t>North Bethesda X</t>
  </si>
  <si>
    <t>North Bethesda Y</t>
  </si>
  <si>
    <t>Strath Haven X</t>
  </si>
  <si>
    <t>Strath Haven Y</t>
  </si>
  <si>
    <t>Bay Academy X</t>
  </si>
  <si>
    <t>Bay Academy Y</t>
  </si>
  <si>
    <t>J.R. Fugett X</t>
  </si>
  <si>
    <t>J.R. Fugett Y</t>
  </si>
  <si>
    <t>C.J. Hooker X</t>
  </si>
  <si>
    <t>C.J. Hooker Y</t>
  </si>
  <si>
    <t>Twin Valley</t>
  </si>
  <si>
    <t>Louise Archer</t>
  </si>
  <si>
    <t>Hershey X</t>
  </si>
  <si>
    <t>Hershey Y</t>
  </si>
  <si>
    <t>Haverford</t>
  </si>
  <si>
    <t>Springtown Lake</t>
  </si>
  <si>
    <t>Wyoming Seminary</t>
  </si>
  <si>
    <t>Stetson X</t>
  </si>
  <si>
    <t>Stetson Y</t>
  </si>
  <si>
    <t>Good Hope Y</t>
  </si>
  <si>
    <t>Good Hope X</t>
  </si>
  <si>
    <t>Welsh Valley X</t>
  </si>
  <si>
    <t>Welsh Valley Y</t>
  </si>
  <si>
    <t>Sunset Prep X</t>
  </si>
  <si>
    <t>Sunset Prep Y</t>
  </si>
  <si>
    <t>Pond Road</t>
  </si>
  <si>
    <t>y</t>
  </si>
  <si>
    <t>Y</t>
  </si>
  <si>
    <t>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</si>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</sst>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B3B3"/>
        <bgColor indexed="64"/>
      </patternFill>
    </fill>
    <fill>
      <patternFill patternType="solid">
        <fgColor rgb="FFFFE5E5"/>
        <bgColor indexed="64"/>
      </patternFill>
    </fill>
    <fill>
      <patternFill patternType="solid">
        <fgColor rgb="FFB5D3E6"/>
        <bgColor indexed="64"/>
      </patternFill>
    </fill>
    <fill>
      <patternFill patternType="solid">
        <fgColor rgb="FFDEEB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EEAA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theme="1" tint="0.24994659260841701"/>
      </left>
      <right style="hair">
        <color theme="1" tint="0.24994659260841701"/>
      </right>
      <top style="thin">
        <color indexed="64"/>
      </top>
      <bottom style="thin">
        <color indexed="64"/>
      </bottom>
      <diagonal/>
    </border>
    <border>
      <left style="hair">
        <color theme="1" tint="0.24994659260841701"/>
      </left>
      <right style="hair">
        <color theme="1" tint="0.24994659260841701"/>
      </right>
      <top/>
      <bottom/>
      <diagonal/>
    </border>
    <border>
      <left style="hair">
        <color theme="1" tint="0.24994659260841701"/>
      </left>
      <right style="hair">
        <color theme="1" tint="0.24994659260841701"/>
      </right>
      <top/>
      <bottom style="medium">
        <color indexed="64"/>
      </bottom>
      <diagonal/>
    </border>
    <border>
      <left style="medium">
        <color indexed="64"/>
      </left>
      <right style="hair">
        <color theme="1" tint="0.24994659260841701"/>
      </right>
      <top/>
      <bottom/>
      <diagonal/>
    </border>
    <border>
      <left style="medium">
        <color indexed="64"/>
      </left>
      <right style="hair">
        <color theme="1" tint="0.24994659260841701"/>
      </right>
      <top style="medium">
        <color indexed="64"/>
      </top>
      <bottom/>
      <diagonal/>
    </border>
    <border>
      <left style="hair">
        <color theme="1" tint="0.24994659260841701"/>
      </left>
      <right style="medium">
        <color indexed="64"/>
      </right>
      <top style="medium">
        <color indexed="64"/>
      </top>
      <bottom/>
      <diagonal/>
    </border>
    <border>
      <left style="hair">
        <color theme="1" tint="0.24994659260841701"/>
      </left>
      <right style="hair">
        <color theme="1" tint="0.24994659260841701"/>
      </right>
      <top style="medium">
        <color indexed="64"/>
      </top>
      <bottom/>
      <diagonal/>
    </border>
    <border>
      <left style="thin">
        <color indexed="64"/>
      </left>
      <right style="hair">
        <color theme="1" tint="0.24994659260841701"/>
      </right>
      <top style="medium">
        <color indexed="64"/>
      </top>
      <bottom/>
      <diagonal/>
    </border>
    <border>
      <left style="hair">
        <color theme="1" tint="0.24994659260841701"/>
      </left>
      <right style="medium">
        <color indexed="64"/>
      </right>
      <top/>
      <bottom/>
      <diagonal/>
    </border>
    <border>
      <left style="thin">
        <color indexed="64"/>
      </left>
      <right style="hair">
        <color theme="1" tint="0.24994659260841701"/>
      </right>
      <top/>
      <bottom/>
      <diagonal/>
    </border>
    <border>
      <left style="medium">
        <color indexed="64"/>
      </left>
      <right style="hair">
        <color theme="1" tint="0.24994659260841701"/>
      </right>
      <top/>
      <bottom style="medium">
        <color indexed="64"/>
      </bottom>
      <diagonal/>
    </border>
    <border>
      <left style="hair">
        <color theme="1" tint="0.2499465926084170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theme="1" tint="0.24994659260841701"/>
      </right>
      <top/>
      <bottom style="medium">
        <color indexed="64"/>
      </bottom>
      <diagonal/>
    </border>
    <border>
      <left style="hair">
        <color theme="1" tint="0.24994659260841701"/>
      </left>
      <right style="hair">
        <color theme="1" tint="0.24994659260841701"/>
      </right>
      <top style="thin">
        <color indexed="64"/>
      </top>
      <bottom style="medium">
        <color indexed="64"/>
      </bottom>
      <diagonal/>
    </border>
    <border>
      <left style="hair">
        <color theme="1" tint="0.24994659260841701"/>
      </left>
      <right style="hair">
        <color theme="1" tint="0.24994659260841701"/>
      </right>
      <top style="medium">
        <color indexed="64"/>
      </top>
      <bottom style="thin">
        <color indexed="64"/>
      </bottom>
      <diagonal/>
    </border>
    <border>
      <left/>
      <right style="hair">
        <color theme="1" tint="0.24994659260841701"/>
      </right>
      <top/>
      <bottom/>
      <diagonal/>
    </border>
    <border>
      <left/>
      <right style="hair">
        <color theme="1" tint="0.24994659260841701"/>
      </right>
      <top/>
      <bottom style="medium">
        <color indexed="64"/>
      </bottom>
      <diagonal/>
    </border>
    <border>
      <left style="hair">
        <color theme="1" tint="0.24994659260841701"/>
      </left>
      <right style="hair">
        <color indexed="64"/>
      </right>
      <top style="medium">
        <color indexed="64"/>
      </top>
      <bottom/>
      <diagonal/>
    </border>
    <border>
      <left style="hair">
        <color theme="1" tint="0.24994659260841701"/>
      </left>
      <right style="hair">
        <color indexed="64"/>
      </right>
      <top/>
      <bottom/>
      <diagonal/>
    </border>
    <border>
      <left style="hair">
        <color theme="1" tint="0.24994659260841701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theme="1" tint="0.24994659260841701"/>
      </right>
      <top style="medium">
        <color indexed="64"/>
      </top>
      <bottom/>
      <diagonal/>
    </border>
    <border>
      <left style="hair">
        <color theme="1" tint="0.24994659260841701"/>
      </left>
      <right style="thin">
        <color indexed="64"/>
      </right>
      <top/>
      <bottom/>
      <diagonal/>
    </border>
    <border>
      <left style="hair">
        <color theme="1" tint="0.24994659260841701"/>
      </left>
      <right style="thin">
        <color indexed="64"/>
      </right>
      <top/>
      <bottom style="medium">
        <color indexed="64"/>
      </bottom>
      <diagonal/>
    </border>
    <border>
      <left style="dashed">
        <color indexed="64"/>
      </left>
      <right style="hair">
        <color theme="1" tint="0.24994659260841701"/>
      </right>
      <top style="medium">
        <color indexed="64"/>
      </top>
      <bottom/>
      <diagonal/>
    </border>
    <border>
      <left style="dashed">
        <color indexed="64"/>
      </left>
      <right style="hair">
        <color theme="1" tint="0.24994659260841701"/>
      </right>
      <top/>
      <bottom/>
      <diagonal/>
    </border>
    <border>
      <left style="dashed">
        <color indexed="64"/>
      </left>
      <right style="hair">
        <color theme="1" tint="0.24994659260841701"/>
      </right>
      <top/>
      <bottom style="medium">
        <color indexed="64"/>
      </bottom>
      <diagonal/>
    </border>
    <border>
      <left/>
      <right style="hair">
        <color theme="1" tint="0.24994659260841701"/>
      </right>
      <top style="medium">
        <color indexed="64"/>
      </top>
      <bottom style="thin">
        <color indexed="64"/>
      </bottom>
      <diagonal/>
    </border>
    <border>
      <left style="hair">
        <color theme="1" tint="0.2499465926084170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1" tint="0.2499465926084170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1" tint="0.24994659260841701"/>
      </right>
      <top style="thin">
        <color indexed="64"/>
      </top>
      <bottom style="medium">
        <color indexed="64"/>
      </bottom>
      <diagonal/>
    </border>
    <border>
      <left style="hair">
        <color theme="1" tint="0.2499465926084170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1" tint="0.2499465926084170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theme="1" tint="0.24994659260841701"/>
      </right>
      <top style="thin">
        <color indexed="64"/>
      </top>
      <bottom style="thin">
        <color indexed="64"/>
      </bottom>
      <diagonal/>
    </border>
    <border>
      <left/>
      <right style="hair">
        <color theme="1" tint="0.2499465926084170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3">
    <xf numFmtId="0" fontId="0" fillId="0" borderId="0" xfId="0"/>
    <xf numFmtId="0" fontId="0" fillId="0" borderId="0" xfId="0" applyProtection="1"/>
    <xf numFmtId="0" fontId="0" fillId="0" borderId="0" xfId="0" applyBorder="1" applyProtection="1"/>
    <xf numFmtId="1" fontId="0" fillId="0" borderId="0" xfId="0" applyNumberFormat="1" applyBorder="1" applyProtection="1"/>
    <xf numFmtId="1" fontId="3" fillId="0" borderId="0" xfId="0" applyNumberFormat="1" applyFont="1" applyAlignment="1" applyProtection="1">
      <alignment horizontal="center"/>
    </xf>
    <xf numFmtId="2" fontId="3" fillId="0" borderId="0" xfId="0" applyNumberFormat="1" applyFont="1" applyAlignment="1" applyProtection="1">
      <alignment horizontal="center"/>
    </xf>
    <xf numFmtId="2" fontId="0" fillId="0" borderId="0" xfId="0" applyNumberFormat="1" applyBorder="1" applyProtection="1"/>
    <xf numFmtId="2" fontId="0" fillId="0" borderId="0" xfId="0" applyNumberFormat="1" applyProtection="1"/>
    <xf numFmtId="1" fontId="0" fillId="0" borderId="0" xfId="0" applyNumberFormat="1" applyProtection="1"/>
    <xf numFmtId="0" fontId="3" fillId="0" borderId="0" xfId="0" applyNumberFormat="1" applyFont="1" applyAlignment="1" applyProtection="1">
      <alignment horizontal="center"/>
    </xf>
    <xf numFmtId="0" fontId="0" fillId="0" borderId="52" xfId="0" applyBorder="1" applyProtection="1"/>
    <xf numFmtId="0" fontId="2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center" vertical="center"/>
      <protection locked="0"/>
    </xf>
    <xf numFmtId="1" fontId="2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</xf>
    <xf numFmtId="2" fontId="2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1" fontId="2" fillId="0" borderId="0" xfId="0" applyNumberFormat="1" applyFont="1" applyFill="1" applyBorder="1" applyAlignment="1" applyProtection="1">
      <alignment horizontal="center" vertical="center"/>
    </xf>
    <xf numFmtId="2" fontId="3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" fontId="0" fillId="0" borderId="0" xfId="0" applyNumberFormat="1" applyFill="1" applyBorder="1" applyProtection="1"/>
    <xf numFmtId="1" fontId="2" fillId="2" borderId="53" xfId="0" applyNumberFormat="1" applyFont="1" applyFill="1" applyBorder="1" applyAlignment="1" applyProtection="1">
      <alignment horizontal="center" vertical="center"/>
      <protection locked="0"/>
    </xf>
    <xf numFmtId="0" fontId="2" fillId="2" borderId="53" xfId="0" applyFont="1" applyFill="1" applyBorder="1" applyAlignment="1" applyProtection="1">
      <alignment horizontal="center" vertical="center"/>
      <protection locked="0"/>
    </xf>
    <xf numFmtId="2" fontId="2" fillId="2" borderId="53" xfId="0" applyNumberFormat="1" applyFont="1" applyFill="1" applyBorder="1" applyAlignment="1" applyProtection="1">
      <alignment horizontal="center" vertical="center"/>
      <protection locked="0"/>
    </xf>
    <xf numFmtId="1" fontId="0" fillId="3" borderId="53" xfId="0" applyNumberFormat="1" applyFont="1" applyFill="1" applyBorder="1" applyAlignment="1" applyProtection="1">
      <alignment horizontal="center" vertical="center"/>
      <protection locked="0"/>
    </xf>
    <xf numFmtId="1" fontId="2" fillId="3" borderId="53" xfId="0" applyNumberFormat="1" applyFont="1" applyFill="1" applyBorder="1" applyAlignment="1" applyProtection="1">
      <alignment horizontal="center" vertical="center"/>
      <protection locked="0"/>
    </xf>
    <xf numFmtId="0" fontId="2" fillId="3" borderId="53" xfId="0" applyFont="1" applyFill="1" applyBorder="1" applyAlignment="1" applyProtection="1">
      <alignment horizontal="center" vertical="center"/>
      <protection locked="0"/>
    </xf>
    <xf numFmtId="2" fontId="2" fillId="3" borderId="53" xfId="0" applyNumberFormat="1" applyFont="1" applyFill="1" applyBorder="1" applyAlignment="1" applyProtection="1">
      <alignment horizontal="center" vertical="center"/>
      <protection locked="0"/>
    </xf>
    <xf numFmtId="1" fontId="2" fillId="2" borderId="54" xfId="0" applyNumberFormat="1" applyFont="1" applyFill="1" applyBorder="1" applyAlignment="1" applyProtection="1">
      <alignment horizontal="center" vertical="center"/>
      <protection locked="0"/>
    </xf>
    <xf numFmtId="0" fontId="2" fillId="2" borderId="54" xfId="0" applyFont="1" applyFill="1" applyBorder="1" applyAlignment="1" applyProtection="1">
      <alignment horizontal="center" vertical="center"/>
      <protection locked="0"/>
    </xf>
    <xf numFmtId="2" fontId="2" fillId="2" borderId="54" xfId="0" applyNumberFormat="1" applyFont="1" applyFill="1" applyBorder="1" applyAlignment="1" applyProtection="1">
      <alignment horizontal="center" vertical="center"/>
      <protection locked="0"/>
    </xf>
    <xf numFmtId="0" fontId="2" fillId="4" borderId="55" xfId="0" applyFont="1" applyFill="1" applyBorder="1" applyAlignment="1" applyProtection="1">
      <alignment horizontal="center" vertical="center"/>
      <protection locked="0"/>
    </xf>
    <xf numFmtId="0" fontId="2" fillId="5" borderId="55" xfId="0" applyFont="1" applyFill="1" applyBorder="1" applyAlignment="1" applyProtection="1">
      <alignment horizontal="center" vertical="center"/>
      <protection locked="0"/>
    </xf>
    <xf numFmtId="0" fontId="2" fillId="5" borderId="56" xfId="0" applyFont="1" applyFill="1" applyBorder="1" applyProtection="1">
      <protection locked="0"/>
    </xf>
    <xf numFmtId="0" fontId="0" fillId="5" borderId="57" xfId="0" applyFont="1" applyFill="1" applyBorder="1" applyProtection="1">
      <protection locked="0"/>
    </xf>
    <xf numFmtId="0" fontId="5" fillId="5" borderId="56" xfId="0" applyFont="1" applyFill="1" applyBorder="1" applyAlignment="1" applyProtection="1">
      <alignment horizontal="center" vertical="center"/>
      <protection locked="0"/>
    </xf>
    <xf numFmtId="1" fontId="5" fillId="5" borderId="53" xfId="0" applyNumberFormat="1" applyFont="1" applyFill="1" applyBorder="1" applyAlignment="1" applyProtection="1">
      <alignment horizontal="center" vertical="center"/>
      <protection locked="0"/>
    </xf>
    <xf numFmtId="2" fontId="2" fillId="5" borderId="58" xfId="0" applyNumberFormat="1" applyFont="1" applyFill="1" applyBorder="1" applyAlignment="1" applyProtection="1">
      <alignment horizontal="center" vertical="center"/>
      <protection locked="0"/>
    </xf>
    <xf numFmtId="0" fontId="2" fillId="5" borderId="59" xfId="0" applyFont="1" applyFill="1" applyBorder="1" applyAlignment="1" applyProtection="1">
      <alignment horizontal="center" vertical="center"/>
      <protection locked="0"/>
    </xf>
    <xf numFmtId="1" fontId="2" fillId="5" borderId="53" xfId="0" applyNumberFormat="1" applyFont="1" applyFill="1" applyBorder="1" applyAlignment="1" applyProtection="1">
      <alignment horizontal="center" vertical="center"/>
      <protection locked="0"/>
    </xf>
    <xf numFmtId="0" fontId="2" fillId="5" borderId="55" xfId="0" applyFont="1" applyFill="1" applyBorder="1" applyProtection="1">
      <protection locked="0"/>
    </xf>
    <xf numFmtId="0" fontId="0" fillId="5" borderId="60" xfId="0" applyFont="1" applyFill="1" applyBorder="1" applyProtection="1">
      <protection locked="0"/>
    </xf>
    <xf numFmtId="2" fontId="2" fillId="5" borderId="53" xfId="0" applyNumberFormat="1" applyFont="1" applyFill="1" applyBorder="1" applyAlignment="1" applyProtection="1">
      <alignment horizontal="center" vertical="center"/>
      <protection locked="0"/>
    </xf>
    <xf numFmtId="0" fontId="2" fillId="5" borderId="61" xfId="0" applyFont="1" applyFill="1" applyBorder="1" applyAlignment="1" applyProtection="1">
      <alignment horizontal="center" vertical="center"/>
      <protection locked="0"/>
    </xf>
    <xf numFmtId="0" fontId="0" fillId="5" borderId="0" xfId="0" applyFont="1" applyFill="1" applyBorder="1" applyProtection="1">
      <protection locked="0"/>
    </xf>
    <xf numFmtId="0" fontId="2" fillId="4" borderId="55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60" xfId="0" applyFont="1" applyFill="1" applyBorder="1" applyProtection="1">
      <protection locked="0"/>
    </xf>
    <xf numFmtId="1" fontId="2" fillId="4" borderId="53" xfId="0" applyNumberFormat="1" applyFont="1" applyFill="1" applyBorder="1" applyAlignment="1" applyProtection="1">
      <alignment horizontal="center" vertical="center"/>
      <protection locked="0"/>
    </xf>
    <xf numFmtId="2" fontId="2" fillId="4" borderId="53" xfId="0" applyNumberFormat="1" applyFont="1" applyFill="1" applyBorder="1" applyAlignment="1" applyProtection="1">
      <alignment horizontal="center" vertical="center"/>
      <protection locked="0"/>
    </xf>
    <xf numFmtId="0" fontId="2" fillId="4" borderId="61" xfId="0" applyFont="1" applyFill="1" applyBorder="1" applyAlignment="1" applyProtection="1">
      <alignment horizontal="center" vertical="center"/>
      <protection locked="0"/>
    </xf>
    <xf numFmtId="0" fontId="2" fillId="4" borderId="62" xfId="0" applyFont="1" applyFill="1" applyBorder="1" applyProtection="1">
      <protection locked="0"/>
    </xf>
    <xf numFmtId="0" fontId="2" fillId="4" borderId="1" xfId="0" applyFont="1" applyFill="1" applyBorder="1" applyProtection="1">
      <protection locked="0"/>
    </xf>
    <xf numFmtId="0" fontId="2" fillId="4" borderId="63" xfId="0" applyFont="1" applyFill="1" applyBorder="1" applyProtection="1">
      <protection locked="0"/>
    </xf>
    <xf numFmtId="0" fontId="2" fillId="4" borderId="62" xfId="0" applyFont="1" applyFill="1" applyBorder="1" applyAlignment="1" applyProtection="1">
      <alignment horizontal="center" vertical="center"/>
      <protection locked="0"/>
    </xf>
    <xf numFmtId="1" fontId="2" fillId="4" borderId="54" xfId="0" applyNumberFormat="1" applyFont="1" applyFill="1" applyBorder="1" applyAlignment="1" applyProtection="1">
      <alignment horizontal="center" vertical="center"/>
      <protection locked="0"/>
    </xf>
    <xf numFmtId="2" fontId="2" fillId="4" borderId="54" xfId="0" applyNumberFormat="1" applyFont="1" applyFill="1" applyBorder="1" applyAlignment="1" applyProtection="1">
      <alignment horizontal="center" vertical="center"/>
      <protection locked="0"/>
    </xf>
    <xf numFmtId="0" fontId="2" fillId="4" borderId="64" xfId="0" applyFont="1" applyFill="1" applyBorder="1" applyAlignment="1" applyProtection="1">
      <alignment horizontal="center" vertical="center"/>
      <protection locked="0"/>
    </xf>
    <xf numFmtId="2" fontId="3" fillId="6" borderId="56" xfId="0" applyNumberFormat="1" applyFont="1" applyFill="1" applyBorder="1" applyAlignment="1" applyProtection="1">
      <alignment horizontal="center"/>
    </xf>
    <xf numFmtId="0" fontId="3" fillId="6" borderId="58" xfId="0" applyNumberFormat="1" applyFont="1" applyFill="1" applyBorder="1" applyAlignment="1" applyProtection="1">
      <alignment horizontal="center"/>
    </xf>
    <xf numFmtId="1" fontId="3" fillId="6" borderId="58" xfId="0" applyNumberFormat="1" applyFont="1" applyFill="1" applyBorder="1" applyAlignment="1" applyProtection="1">
      <alignment horizontal="center"/>
    </xf>
    <xf numFmtId="1" fontId="3" fillId="6" borderId="57" xfId="0" applyNumberFormat="1" applyFont="1" applyFill="1" applyBorder="1" applyAlignment="1" applyProtection="1">
      <alignment horizontal="center"/>
    </xf>
    <xf numFmtId="2" fontId="3" fillId="6" borderId="55" xfId="0" applyNumberFormat="1" applyFont="1" applyFill="1" applyBorder="1" applyAlignment="1" applyProtection="1">
      <alignment horizontal="center"/>
    </xf>
    <xf numFmtId="0" fontId="3" fillId="6" borderId="53" xfId="0" applyNumberFormat="1" applyFont="1" applyFill="1" applyBorder="1" applyAlignment="1" applyProtection="1">
      <alignment horizontal="center"/>
    </xf>
    <xf numFmtId="1" fontId="3" fillId="6" borderId="53" xfId="0" applyNumberFormat="1" applyFont="1" applyFill="1" applyBorder="1" applyAlignment="1" applyProtection="1">
      <alignment horizontal="center"/>
    </xf>
    <xf numFmtId="1" fontId="3" fillId="6" borderId="60" xfId="0" applyNumberFormat="1" applyFont="1" applyFill="1" applyBorder="1" applyAlignment="1" applyProtection="1">
      <alignment horizontal="center"/>
    </xf>
    <xf numFmtId="2" fontId="3" fillId="7" borderId="55" xfId="0" applyNumberFormat="1" applyFont="1" applyFill="1" applyBorder="1" applyAlignment="1" applyProtection="1">
      <alignment horizontal="center"/>
    </xf>
    <xf numFmtId="0" fontId="3" fillId="7" borderId="53" xfId="0" applyNumberFormat="1" applyFont="1" applyFill="1" applyBorder="1" applyAlignment="1" applyProtection="1">
      <alignment horizontal="center"/>
    </xf>
    <xf numFmtId="1" fontId="3" fillId="7" borderId="53" xfId="0" applyNumberFormat="1" applyFont="1" applyFill="1" applyBorder="1" applyAlignment="1" applyProtection="1">
      <alignment horizontal="center"/>
    </xf>
    <xf numFmtId="1" fontId="3" fillId="7" borderId="60" xfId="0" applyNumberFormat="1" applyFont="1" applyFill="1" applyBorder="1" applyAlignment="1" applyProtection="1">
      <alignment horizontal="center"/>
    </xf>
    <xf numFmtId="2" fontId="3" fillId="7" borderId="62" xfId="0" applyNumberFormat="1" applyFont="1" applyFill="1" applyBorder="1" applyAlignment="1" applyProtection="1">
      <alignment horizontal="center"/>
    </xf>
    <xf numFmtId="0" fontId="3" fillId="7" borderId="54" xfId="0" applyNumberFormat="1" applyFont="1" applyFill="1" applyBorder="1" applyAlignment="1" applyProtection="1">
      <alignment horizontal="center"/>
    </xf>
    <xf numFmtId="1" fontId="3" fillId="7" borderId="54" xfId="0" applyNumberFormat="1" applyFont="1" applyFill="1" applyBorder="1" applyAlignment="1" applyProtection="1">
      <alignment horizontal="center"/>
    </xf>
    <xf numFmtId="1" fontId="3" fillId="7" borderId="63" xfId="0" applyNumberFormat="1" applyFont="1" applyFill="1" applyBorder="1" applyAlignment="1" applyProtection="1">
      <alignment horizontal="center"/>
    </xf>
    <xf numFmtId="0" fontId="0" fillId="0" borderId="65" xfId="0" applyBorder="1" applyProtection="1"/>
    <xf numFmtId="2" fontId="0" fillId="0" borderId="2" xfId="0" applyNumberFormat="1" applyBorder="1" applyProtection="1"/>
    <xf numFmtId="2" fontId="0" fillId="0" borderId="3" xfId="0" applyNumberFormat="1" applyBorder="1" applyProtection="1"/>
    <xf numFmtId="2" fontId="2" fillId="0" borderId="2" xfId="0" applyNumberFormat="1" applyFont="1" applyFill="1" applyBorder="1" applyAlignment="1" applyProtection="1">
      <alignment horizontal="center" vertical="center"/>
    </xf>
    <xf numFmtId="2" fontId="2" fillId="0" borderId="3" xfId="0" applyNumberFormat="1" applyFont="1" applyFill="1" applyBorder="1" applyAlignment="1" applyProtection="1">
      <alignment horizontal="center" vertical="center"/>
    </xf>
    <xf numFmtId="1" fontId="0" fillId="3" borderId="55" xfId="0" applyNumberFormat="1" applyFont="1" applyFill="1" applyBorder="1" applyAlignment="1" applyProtection="1">
      <alignment horizontal="center" vertical="center"/>
      <protection locked="0"/>
    </xf>
    <xf numFmtId="0" fontId="2" fillId="3" borderId="57" xfId="0" applyFont="1" applyFill="1" applyBorder="1" applyAlignment="1" applyProtection="1">
      <alignment horizontal="center" vertical="center"/>
      <protection locked="0"/>
    </xf>
    <xf numFmtId="1" fontId="2" fillId="3" borderId="55" xfId="0" applyNumberFormat="1" applyFont="1" applyFill="1" applyBorder="1" applyAlignment="1" applyProtection="1">
      <alignment horizontal="center" vertical="center"/>
      <protection locked="0"/>
    </xf>
    <xf numFmtId="0" fontId="2" fillId="3" borderId="60" xfId="0" applyFont="1" applyFill="1" applyBorder="1" applyAlignment="1" applyProtection="1">
      <alignment horizontal="center" vertical="center"/>
      <protection locked="0"/>
    </xf>
    <xf numFmtId="1" fontId="2" fillId="2" borderId="55" xfId="0" applyNumberFormat="1" applyFont="1" applyFill="1" applyBorder="1" applyAlignment="1" applyProtection="1">
      <alignment horizontal="center" vertical="center"/>
      <protection locked="0"/>
    </xf>
    <xf numFmtId="0" fontId="2" fillId="2" borderId="60" xfId="0" applyFont="1" applyFill="1" applyBorder="1" applyAlignment="1" applyProtection="1">
      <alignment horizontal="center" vertical="center"/>
      <protection locked="0"/>
    </xf>
    <xf numFmtId="1" fontId="2" fillId="2" borderId="62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 applyProtection="1">
      <alignment horizontal="center" vertical="center"/>
      <protection locked="0"/>
    </xf>
    <xf numFmtId="0" fontId="0" fillId="0" borderId="4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0" fillId="0" borderId="7" xfId="0" applyBorder="1" applyProtection="1"/>
    <xf numFmtId="0" fontId="0" fillId="8" borderId="55" xfId="0" applyFill="1" applyBorder="1" applyAlignment="1" applyProtection="1">
      <alignment horizontal="center"/>
    </xf>
    <xf numFmtId="0" fontId="0" fillId="8" borderId="60" xfId="0" applyFill="1" applyBorder="1" applyProtection="1"/>
    <xf numFmtId="0" fontId="0" fillId="9" borderId="55" xfId="0" applyFill="1" applyBorder="1" applyAlignment="1" applyProtection="1">
      <alignment horizontal="center"/>
    </xf>
    <xf numFmtId="0" fontId="0" fillId="9" borderId="60" xfId="0" applyFill="1" applyBorder="1" applyProtection="1"/>
    <xf numFmtId="0" fontId="0" fillId="9" borderId="62" xfId="0" applyFill="1" applyBorder="1" applyAlignment="1" applyProtection="1">
      <alignment horizontal="center"/>
    </xf>
    <xf numFmtId="0" fontId="0" fillId="9" borderId="63" xfId="0" applyFill="1" applyBorder="1" applyProtection="1"/>
    <xf numFmtId="0" fontId="0" fillId="0" borderId="8" xfId="0" applyBorder="1" applyAlignment="1" applyProtection="1">
      <alignment horizontal="center"/>
    </xf>
    <xf numFmtId="0" fontId="0" fillId="0" borderId="66" xfId="0" applyBorder="1" applyAlignment="1" applyProtection="1">
      <alignment vertical="center"/>
    </xf>
    <xf numFmtId="0" fontId="0" fillId="0" borderId="9" xfId="0" applyBorder="1" applyProtection="1"/>
    <xf numFmtId="2" fontId="6" fillId="0" borderId="10" xfId="0" applyNumberFormat="1" applyFont="1" applyBorder="1" applyAlignment="1" applyProtection="1">
      <alignment horizontal="center" textRotation="90"/>
    </xf>
    <xf numFmtId="0" fontId="2" fillId="5" borderId="67" xfId="0" applyFont="1" applyFill="1" applyBorder="1" applyAlignment="1" applyProtection="1">
      <alignment horizontal="center" vertical="center"/>
      <protection locked="0"/>
    </xf>
    <xf numFmtId="0" fontId="2" fillId="4" borderId="67" xfId="0" applyFont="1" applyFill="1" applyBorder="1" applyAlignment="1" applyProtection="1">
      <alignment horizontal="center" vertical="center"/>
      <protection locked="0"/>
    </xf>
    <xf numFmtId="0" fontId="2" fillId="4" borderId="68" xfId="0" applyFont="1" applyFill="1" applyBorder="1" applyAlignment="1" applyProtection="1">
      <alignment horizontal="center" vertical="center"/>
      <protection locked="0"/>
    </xf>
    <xf numFmtId="2" fontId="2" fillId="5" borderId="69" xfId="0" applyNumberFormat="1" applyFont="1" applyFill="1" applyBorder="1" applyAlignment="1" applyProtection="1">
      <alignment horizontal="center" vertical="center"/>
      <protection locked="0"/>
    </xf>
    <xf numFmtId="2" fontId="2" fillId="5" borderId="70" xfId="0" applyNumberFormat="1" applyFont="1" applyFill="1" applyBorder="1" applyAlignment="1" applyProtection="1">
      <alignment horizontal="center" vertical="center"/>
      <protection locked="0"/>
    </xf>
    <xf numFmtId="2" fontId="2" fillId="4" borderId="70" xfId="0" applyNumberFormat="1" applyFont="1" applyFill="1" applyBorder="1" applyAlignment="1" applyProtection="1">
      <alignment horizontal="center" vertical="center"/>
      <protection locked="0"/>
    </xf>
    <xf numFmtId="2" fontId="2" fillId="4" borderId="71" xfId="0" applyNumberFormat="1" applyFont="1" applyFill="1" applyBorder="1" applyAlignment="1" applyProtection="1">
      <alignment horizontal="center" vertical="center"/>
      <protection locked="0"/>
    </xf>
    <xf numFmtId="2" fontId="2" fillId="5" borderId="11" xfId="0" applyNumberFormat="1" applyFont="1" applyFill="1" applyBorder="1" applyAlignment="1" applyProtection="1">
      <alignment horizontal="center" vertical="center"/>
      <protection locked="0"/>
    </xf>
    <xf numFmtId="2" fontId="2" fillId="4" borderId="11" xfId="0" applyNumberFormat="1" applyFont="1" applyFill="1" applyBorder="1" applyAlignment="1" applyProtection="1">
      <alignment horizontal="center" vertical="center"/>
      <protection locked="0"/>
    </xf>
    <xf numFmtId="2" fontId="2" fillId="4" borderId="12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Border="1" applyProtection="1"/>
    <xf numFmtId="164" fontId="2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Border="1" applyProtection="1"/>
    <xf numFmtId="0" fontId="6" fillId="5" borderId="55" xfId="0" applyFont="1" applyFill="1" applyBorder="1" applyAlignment="1" applyProtection="1">
      <alignment horizontal="center" vertical="center"/>
      <protection locked="0"/>
    </xf>
    <xf numFmtId="164" fontId="2" fillId="5" borderId="58" xfId="0" applyNumberFormat="1" applyFont="1" applyFill="1" applyBorder="1" applyAlignment="1" applyProtection="1">
      <alignment horizontal="center" vertical="center"/>
      <protection locked="0"/>
    </xf>
    <xf numFmtId="164" fontId="2" fillId="5" borderId="53" xfId="0" applyNumberFormat="1" applyFont="1" applyFill="1" applyBorder="1" applyAlignment="1" applyProtection="1">
      <alignment horizontal="center" vertical="center"/>
      <protection locked="0"/>
    </xf>
    <xf numFmtId="164" fontId="2" fillId="4" borderId="53" xfId="0" applyNumberFormat="1" applyFont="1" applyFill="1" applyBorder="1" applyAlignment="1" applyProtection="1">
      <alignment horizontal="center" vertical="center"/>
      <protection locked="0"/>
    </xf>
    <xf numFmtId="164" fontId="2" fillId="4" borderId="54" xfId="0" applyNumberFormat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Fill="1" applyBorder="1" applyAlignment="1" applyProtection="1">
      <alignment horizontal="center" vertical="center"/>
      <protection locked="0"/>
    </xf>
    <xf numFmtId="2" fontId="2" fillId="5" borderId="67" xfId="0" applyNumberFormat="1" applyFont="1" applyFill="1" applyBorder="1" applyAlignment="1" applyProtection="1">
      <alignment horizontal="center" vertical="center"/>
      <protection locked="0"/>
    </xf>
    <xf numFmtId="2" fontId="2" fillId="4" borderId="67" xfId="0" applyNumberFormat="1" applyFont="1" applyFill="1" applyBorder="1" applyAlignment="1" applyProtection="1">
      <alignment horizontal="center" vertical="center"/>
      <protection locked="0"/>
    </xf>
    <xf numFmtId="2" fontId="2" fillId="4" borderId="68" xfId="0" applyNumberFormat="1" applyFont="1" applyFill="1" applyBorder="1" applyAlignment="1" applyProtection="1">
      <alignment horizontal="center" vertical="center"/>
      <protection locked="0"/>
    </xf>
    <xf numFmtId="2" fontId="6" fillId="5" borderId="72" xfId="0" applyNumberFormat="1" applyFont="1" applyFill="1" applyBorder="1" applyAlignment="1" applyProtection="1">
      <alignment horizontal="center" vertical="center"/>
      <protection locked="0"/>
    </xf>
    <xf numFmtId="1" fontId="6" fillId="5" borderId="73" xfId="0" applyNumberFormat="1" applyFont="1" applyFill="1" applyBorder="1" applyAlignment="1" applyProtection="1">
      <alignment horizontal="center" vertical="center"/>
      <protection locked="0"/>
    </xf>
    <xf numFmtId="1" fontId="2" fillId="5" borderId="73" xfId="0" applyNumberFormat="1" applyFont="1" applyFill="1" applyBorder="1" applyAlignment="1" applyProtection="1">
      <alignment horizontal="center" vertical="center"/>
      <protection locked="0"/>
    </xf>
    <xf numFmtId="1" fontId="2" fillId="4" borderId="73" xfId="0" applyNumberFormat="1" applyFont="1" applyFill="1" applyBorder="1" applyAlignment="1" applyProtection="1">
      <alignment horizontal="center" vertical="center"/>
      <protection locked="0"/>
    </xf>
    <xf numFmtId="1" fontId="2" fillId="4" borderId="74" xfId="0" applyNumberFormat="1" applyFont="1" applyFill="1" applyBorder="1" applyAlignment="1" applyProtection="1">
      <alignment horizontal="center" vertical="center"/>
      <protection locked="0"/>
    </xf>
    <xf numFmtId="0" fontId="5" fillId="5" borderId="72" xfId="0" applyFont="1" applyFill="1" applyBorder="1" applyAlignment="1" applyProtection="1">
      <alignment horizontal="center" vertical="center"/>
      <protection locked="0"/>
    </xf>
    <xf numFmtId="2" fontId="2" fillId="5" borderId="13" xfId="0" applyNumberFormat="1" applyFont="1" applyFill="1" applyBorder="1" applyAlignment="1" applyProtection="1">
      <alignment horizontal="center" vertical="center"/>
      <protection locked="0"/>
    </xf>
    <xf numFmtId="2" fontId="2" fillId="5" borderId="14" xfId="0" applyNumberFormat="1" applyFont="1" applyFill="1" applyBorder="1" applyAlignment="1" applyProtection="1">
      <alignment horizontal="center" vertical="center"/>
      <protection locked="0"/>
    </xf>
    <xf numFmtId="2" fontId="6" fillId="5" borderId="15" xfId="0" applyNumberFormat="1" applyFont="1" applyFill="1" applyBorder="1" applyAlignment="1" applyProtection="1">
      <alignment horizontal="center" vertical="center"/>
      <protection locked="0"/>
    </xf>
    <xf numFmtId="2" fontId="2" fillId="5" borderId="15" xfId="0" applyNumberFormat="1" applyFont="1" applyFill="1" applyBorder="1" applyAlignment="1" applyProtection="1">
      <alignment horizontal="center" vertical="center"/>
      <protection locked="0"/>
    </xf>
    <xf numFmtId="2" fontId="2" fillId="4" borderId="15" xfId="0" applyNumberFormat="1" applyFont="1" applyFill="1" applyBorder="1" applyAlignment="1" applyProtection="1">
      <alignment horizontal="center" vertical="center"/>
      <protection locked="0"/>
    </xf>
    <xf numFmtId="2" fontId="2" fillId="4" borderId="16" xfId="0" applyNumberFormat="1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2" fontId="6" fillId="5" borderId="18" xfId="0" applyNumberFormat="1" applyFont="1" applyFill="1" applyBorder="1" applyAlignment="1" applyProtection="1">
      <alignment horizontal="center" vertical="center"/>
      <protection locked="0"/>
    </xf>
    <xf numFmtId="2" fontId="6" fillId="5" borderId="2" xfId="0" applyNumberFormat="1" applyFont="1" applyFill="1" applyBorder="1" applyAlignment="1" applyProtection="1">
      <alignment horizontal="center" vertical="center"/>
      <protection locked="0"/>
    </xf>
    <xf numFmtId="2" fontId="2" fillId="5" borderId="2" xfId="0" applyNumberFormat="1" applyFont="1" applyFill="1" applyBorder="1" applyAlignment="1" applyProtection="1">
      <alignment horizontal="center" vertical="center"/>
      <protection locked="0"/>
    </xf>
    <xf numFmtId="2" fontId="2" fillId="4" borderId="2" xfId="0" applyNumberFormat="1" applyFont="1" applyFill="1" applyBorder="1" applyAlignment="1" applyProtection="1">
      <alignment horizontal="center" vertical="center"/>
      <protection locked="0"/>
    </xf>
    <xf numFmtId="2" fontId="2" fillId="4" borderId="19" xfId="0" applyNumberFormat="1" applyFont="1" applyFill="1" applyBorder="1" applyAlignment="1" applyProtection="1">
      <alignment horizontal="center" vertical="center"/>
      <protection locked="0"/>
    </xf>
    <xf numFmtId="0" fontId="2" fillId="5" borderId="7" xfId="0" applyFont="1" applyFill="1" applyBorder="1" applyAlignment="1" applyProtection="1">
      <alignment horizontal="center" vertical="center"/>
      <protection locked="0"/>
    </xf>
    <xf numFmtId="0" fontId="2" fillId="4" borderId="7" xfId="0" applyFont="1" applyFill="1" applyBorder="1" applyAlignment="1" applyProtection="1">
      <alignment horizontal="center" vertical="center"/>
      <protection locked="0"/>
    </xf>
    <xf numFmtId="0" fontId="2" fillId="4" borderId="20" xfId="0" applyFont="1" applyFill="1" applyBorder="1" applyAlignment="1" applyProtection="1">
      <alignment horizontal="center" vertical="center"/>
      <protection locked="0"/>
    </xf>
    <xf numFmtId="1" fontId="6" fillId="0" borderId="10" xfId="0" applyNumberFormat="1" applyFont="1" applyBorder="1" applyAlignment="1" applyProtection="1">
      <alignment horizontal="center" textRotation="90"/>
    </xf>
    <xf numFmtId="0" fontId="0" fillId="3" borderId="72" xfId="0" applyFont="1" applyFill="1" applyBorder="1" applyAlignment="1" applyProtection="1">
      <alignment horizontal="center" vertical="center"/>
    </xf>
    <xf numFmtId="0" fontId="0" fillId="3" borderId="56" xfId="0" applyFont="1" applyFill="1" applyBorder="1" applyAlignment="1" applyProtection="1">
      <alignment horizontal="center" vertical="center"/>
    </xf>
    <xf numFmtId="164" fontId="0" fillId="3" borderId="53" xfId="0" applyNumberFormat="1" applyFont="1" applyFill="1" applyBorder="1" applyAlignment="1" applyProtection="1">
      <alignment horizontal="center" vertical="center"/>
    </xf>
    <xf numFmtId="2" fontId="0" fillId="3" borderId="53" xfId="0" applyNumberFormat="1" applyFont="1" applyFill="1" applyBorder="1" applyAlignment="1" applyProtection="1">
      <alignment horizontal="center" vertical="center"/>
    </xf>
    <xf numFmtId="1" fontId="0" fillId="3" borderId="53" xfId="0" applyNumberFormat="1" applyFont="1" applyFill="1" applyBorder="1" applyAlignment="1" applyProtection="1">
      <alignment horizontal="center" vertical="center"/>
    </xf>
    <xf numFmtId="0" fontId="0" fillId="3" borderId="53" xfId="0" applyNumberFormat="1" applyFont="1" applyFill="1" applyBorder="1" applyAlignment="1" applyProtection="1">
      <alignment horizontal="center" vertical="center"/>
    </xf>
    <xf numFmtId="2" fontId="2" fillId="3" borderId="58" xfId="0" applyNumberFormat="1" applyFont="1" applyFill="1" applyBorder="1" applyAlignment="1" applyProtection="1">
      <alignment horizontal="center" vertical="center"/>
    </xf>
    <xf numFmtId="2" fontId="2" fillId="3" borderId="53" xfId="0" applyNumberFormat="1" applyFont="1" applyFill="1" applyBorder="1" applyAlignment="1" applyProtection="1">
      <alignment horizontal="center" vertical="center"/>
    </xf>
    <xf numFmtId="1" fontId="2" fillId="3" borderId="53" xfId="0" applyNumberFormat="1" applyFont="1" applyFill="1" applyBorder="1" applyAlignment="1" applyProtection="1">
      <alignment horizontal="center" vertical="center"/>
    </xf>
    <xf numFmtId="2" fontId="2" fillId="3" borderId="69" xfId="0" applyNumberFormat="1" applyFont="1" applyFill="1" applyBorder="1" applyAlignment="1" applyProtection="1">
      <alignment horizontal="center" vertical="center"/>
    </xf>
    <xf numFmtId="0" fontId="2" fillId="3" borderId="67" xfId="0" applyFont="1" applyFill="1" applyBorder="1" applyAlignment="1" applyProtection="1">
      <alignment horizontal="center" vertical="center"/>
    </xf>
    <xf numFmtId="0" fontId="2" fillId="3" borderId="55" xfId="0" applyFont="1" applyFill="1" applyBorder="1" applyAlignment="1" applyProtection="1">
      <alignment horizontal="center" vertical="center"/>
    </xf>
    <xf numFmtId="164" fontId="2" fillId="3" borderId="53" xfId="0" applyNumberFormat="1" applyFont="1" applyFill="1" applyBorder="1" applyAlignment="1" applyProtection="1">
      <alignment horizontal="center" vertical="center"/>
    </xf>
    <xf numFmtId="0" fontId="2" fillId="3" borderId="53" xfId="0" applyNumberFormat="1" applyFont="1" applyFill="1" applyBorder="1" applyAlignment="1" applyProtection="1">
      <alignment horizontal="center" vertical="center"/>
    </xf>
    <xf numFmtId="2" fontId="2" fillId="3" borderId="70" xfId="0" applyNumberFormat="1" applyFont="1" applyFill="1" applyBorder="1" applyAlignment="1" applyProtection="1">
      <alignment horizontal="center" vertical="center"/>
    </xf>
    <xf numFmtId="0" fontId="2" fillId="2" borderId="67" xfId="0" applyFont="1" applyFill="1" applyBorder="1" applyAlignment="1" applyProtection="1">
      <alignment horizontal="center" vertical="center"/>
    </xf>
    <xf numFmtId="0" fontId="2" fillId="2" borderId="55" xfId="0" applyFont="1" applyFill="1" applyBorder="1" applyAlignment="1" applyProtection="1">
      <alignment horizontal="center" vertical="center"/>
    </xf>
    <xf numFmtId="164" fontId="2" fillId="2" borderId="53" xfId="0" applyNumberFormat="1" applyFont="1" applyFill="1" applyBorder="1" applyAlignment="1" applyProtection="1">
      <alignment horizontal="center" vertical="center"/>
    </xf>
    <xf numFmtId="2" fontId="2" fillId="2" borderId="53" xfId="0" applyNumberFormat="1" applyFont="1" applyFill="1" applyBorder="1" applyAlignment="1" applyProtection="1">
      <alignment horizontal="center" vertical="center"/>
    </xf>
    <xf numFmtId="1" fontId="2" fillId="2" borderId="53" xfId="0" applyNumberFormat="1" applyFont="1" applyFill="1" applyBorder="1" applyAlignment="1" applyProtection="1">
      <alignment horizontal="center" vertical="center"/>
    </xf>
    <xf numFmtId="0" fontId="2" fillId="2" borderId="53" xfId="0" applyNumberFormat="1" applyFont="1" applyFill="1" applyBorder="1" applyAlignment="1" applyProtection="1">
      <alignment horizontal="center" vertical="center"/>
    </xf>
    <xf numFmtId="2" fontId="2" fillId="2" borderId="70" xfId="0" applyNumberFormat="1" applyFont="1" applyFill="1" applyBorder="1" applyAlignment="1" applyProtection="1">
      <alignment horizontal="center"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2" borderId="62" xfId="0" applyFont="1" applyFill="1" applyBorder="1" applyAlignment="1" applyProtection="1">
      <alignment horizontal="center" vertical="center"/>
    </xf>
    <xf numFmtId="164" fontId="2" fillId="2" borderId="54" xfId="0" applyNumberFormat="1" applyFont="1" applyFill="1" applyBorder="1" applyAlignment="1" applyProtection="1">
      <alignment horizontal="center" vertical="center"/>
    </xf>
    <xf numFmtId="2" fontId="2" fillId="2" borderId="54" xfId="0" applyNumberFormat="1" applyFont="1" applyFill="1" applyBorder="1" applyAlignment="1" applyProtection="1">
      <alignment horizontal="center" vertical="center"/>
    </xf>
    <xf numFmtId="1" fontId="2" fillId="2" borderId="54" xfId="0" applyNumberFormat="1" applyFont="1" applyFill="1" applyBorder="1" applyAlignment="1" applyProtection="1">
      <alignment horizontal="center" vertical="center"/>
    </xf>
    <xf numFmtId="0" fontId="2" fillId="2" borderId="54" xfId="0" applyNumberFormat="1" applyFont="1" applyFill="1" applyBorder="1" applyAlignment="1" applyProtection="1">
      <alignment horizontal="center" vertical="center"/>
    </xf>
    <xf numFmtId="2" fontId="2" fillId="2" borderId="71" xfId="0" applyNumberFormat="1" applyFont="1" applyFill="1" applyBorder="1" applyAlignment="1" applyProtection="1">
      <alignment horizontal="center" vertical="center"/>
    </xf>
    <xf numFmtId="0" fontId="6" fillId="0" borderId="21" xfId="0" applyFont="1" applyBorder="1" applyAlignment="1" applyProtection="1">
      <alignment horizontal="center" textRotation="90"/>
    </xf>
    <xf numFmtId="164" fontId="6" fillId="0" borderId="10" xfId="0" applyNumberFormat="1" applyFont="1" applyBorder="1" applyAlignment="1" applyProtection="1">
      <alignment horizontal="center" textRotation="90"/>
    </xf>
    <xf numFmtId="0" fontId="6" fillId="0" borderId="10" xfId="0" applyNumberFormat="1" applyFont="1" applyBorder="1" applyAlignment="1" applyProtection="1">
      <alignment horizontal="center" textRotation="90"/>
    </xf>
    <xf numFmtId="1" fontId="6" fillId="0" borderId="10" xfId="0" applyNumberFormat="1" applyFont="1" applyBorder="1" applyAlignment="1" applyProtection="1">
      <alignment textRotation="90"/>
    </xf>
    <xf numFmtId="2" fontId="6" fillId="0" borderId="22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textRotation="90"/>
    </xf>
    <xf numFmtId="0" fontId="2" fillId="0" borderId="9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6" fillId="5" borderId="0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2" fillId="4" borderId="1" xfId="0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textRotation="90"/>
    </xf>
    <xf numFmtId="2" fontId="2" fillId="0" borderId="24" xfId="0" applyNumberFormat="1" applyFont="1" applyBorder="1" applyAlignment="1" applyProtection="1">
      <alignment horizontal="center" textRotation="90"/>
    </xf>
    <xf numFmtId="2" fontId="2" fillId="5" borderId="0" xfId="0" applyNumberFormat="1" applyFont="1" applyFill="1" applyBorder="1" applyAlignment="1" applyProtection="1">
      <alignment horizontal="center" vertical="center"/>
      <protection locked="0"/>
    </xf>
    <xf numFmtId="2" fontId="2" fillId="4" borderId="0" xfId="0" applyNumberFormat="1" applyFont="1" applyFill="1" applyBorder="1" applyAlignment="1" applyProtection="1">
      <alignment horizontal="center" vertical="center"/>
      <protection locked="0"/>
    </xf>
    <xf numFmtId="2" fontId="2" fillId="4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textRotation="90"/>
    </xf>
    <xf numFmtId="0" fontId="3" fillId="0" borderId="0" xfId="0" applyFont="1" applyBorder="1" applyAlignment="1" applyProtection="1">
      <alignment horizontal="center" textRotation="90"/>
    </xf>
    <xf numFmtId="0" fontId="6" fillId="0" borderId="25" xfId="0" applyFont="1" applyBorder="1" applyAlignment="1" applyProtection="1">
      <alignment horizontal="center" textRotation="90"/>
    </xf>
    <xf numFmtId="0" fontId="6" fillId="0" borderId="26" xfId="0" applyFont="1" applyBorder="1" applyAlignment="1" applyProtection="1">
      <alignment horizontal="center" textRotation="90"/>
    </xf>
    <xf numFmtId="1" fontId="6" fillId="0" borderId="0" xfId="0" applyNumberFormat="1" applyFont="1" applyBorder="1" applyAlignment="1" applyProtection="1">
      <alignment horizontal="center" textRotation="90"/>
    </xf>
    <xf numFmtId="164" fontId="3" fillId="0" borderId="0" xfId="0" applyNumberFormat="1" applyFont="1" applyBorder="1" applyAlignment="1" applyProtection="1">
      <alignment horizontal="center" textRotation="90"/>
    </xf>
    <xf numFmtId="2" fontId="2" fillId="0" borderId="0" xfId="0" applyNumberFormat="1" applyFont="1" applyBorder="1" applyAlignment="1" applyProtection="1">
      <alignment horizontal="center" textRotation="90"/>
    </xf>
    <xf numFmtId="2" fontId="2" fillId="0" borderId="2" xfId="0" applyNumberFormat="1" applyFont="1" applyBorder="1" applyAlignment="1" applyProtection="1">
      <alignment horizontal="center" textRotation="90"/>
    </xf>
    <xf numFmtId="164" fontId="6" fillId="0" borderId="0" xfId="0" applyNumberFormat="1" applyFont="1" applyBorder="1" applyAlignment="1" applyProtection="1">
      <alignment horizontal="center" textRotation="90"/>
    </xf>
    <xf numFmtId="164" fontId="6" fillId="0" borderId="25" xfId="0" applyNumberFormat="1" applyFont="1" applyBorder="1" applyAlignment="1" applyProtection="1">
      <alignment horizontal="center" textRotation="90"/>
    </xf>
    <xf numFmtId="0" fontId="6" fillId="0" borderId="0" xfId="0" applyFont="1" applyBorder="1" applyAlignment="1" applyProtection="1">
      <alignment horizontal="center" textRotation="90"/>
    </xf>
    <xf numFmtId="2" fontId="2" fillId="0" borderId="11" xfId="0" applyNumberFormat="1" applyFont="1" applyBorder="1" applyAlignment="1" applyProtection="1">
      <alignment horizontal="center" textRotation="90"/>
    </xf>
    <xf numFmtId="164" fontId="6" fillId="0" borderId="15" xfId="0" applyNumberFormat="1" applyFont="1" applyBorder="1" applyAlignment="1" applyProtection="1">
      <alignment horizontal="center" textRotation="90"/>
    </xf>
    <xf numFmtId="0" fontId="6" fillId="0" borderId="7" xfId="0" applyFont="1" applyBorder="1" applyAlignment="1" applyProtection="1">
      <alignment horizontal="center" textRotation="90"/>
    </xf>
    <xf numFmtId="0" fontId="6" fillId="0" borderId="9" xfId="0" applyFont="1" applyBorder="1" applyAlignment="1" applyProtection="1">
      <alignment horizontal="center" textRotation="90"/>
    </xf>
    <xf numFmtId="2" fontId="6" fillId="0" borderId="0" xfId="0" applyNumberFormat="1" applyFont="1" applyBorder="1" applyAlignment="1" applyProtection="1">
      <alignment horizontal="center" textRotation="90"/>
    </xf>
    <xf numFmtId="0" fontId="6" fillId="0" borderId="0" xfId="0" applyNumberFormat="1" applyFont="1" applyBorder="1" applyAlignment="1" applyProtection="1">
      <alignment horizontal="center" textRotation="90"/>
    </xf>
    <xf numFmtId="1" fontId="6" fillId="0" borderId="0" xfId="0" applyNumberFormat="1" applyFont="1" applyBorder="1" applyAlignment="1" applyProtection="1">
      <alignment textRotation="90"/>
    </xf>
    <xf numFmtId="2" fontId="6" fillId="0" borderId="2" xfId="0" applyNumberFormat="1" applyFont="1" applyBorder="1" applyAlignment="1" applyProtection="1">
      <alignment horizontal="center" textRotation="90"/>
    </xf>
    <xf numFmtId="2" fontId="6" fillId="0" borderId="7" xfId="0" applyNumberFormat="1" applyFont="1" applyBorder="1" applyAlignment="1" applyProtection="1">
      <alignment horizontal="center" textRotation="90"/>
    </xf>
    <xf numFmtId="2" fontId="3" fillId="0" borderId="67" xfId="0" applyNumberFormat="1" applyFont="1" applyFill="1" applyBorder="1" applyAlignment="1" applyProtection="1">
      <alignment horizontal="center" textRotation="90"/>
    </xf>
    <xf numFmtId="0" fontId="3" fillId="0" borderId="53" xfId="0" applyNumberFormat="1" applyFont="1" applyFill="1" applyBorder="1" applyAlignment="1" applyProtection="1">
      <alignment horizontal="center" textRotation="90"/>
    </xf>
    <xf numFmtId="1" fontId="3" fillId="0" borderId="53" xfId="0" applyNumberFormat="1" applyFont="1" applyFill="1" applyBorder="1" applyAlignment="1" applyProtection="1">
      <alignment horizontal="center" textRotation="90"/>
    </xf>
    <xf numFmtId="1" fontId="3" fillId="0" borderId="60" xfId="0" applyNumberFormat="1" applyFont="1" applyFill="1" applyBorder="1" applyAlignment="1" applyProtection="1">
      <alignment horizontal="center" textRotation="90"/>
    </xf>
    <xf numFmtId="0" fontId="0" fillId="0" borderId="9" xfId="0" applyBorder="1" applyAlignment="1" applyProtection="1">
      <alignment horizontal="center"/>
    </xf>
    <xf numFmtId="0" fontId="0" fillId="0" borderId="23" xfId="0" applyBorder="1" applyProtection="1"/>
    <xf numFmtId="0" fontId="0" fillId="0" borderId="53" xfId="0" applyBorder="1" applyProtection="1"/>
    <xf numFmtId="0" fontId="3" fillId="0" borderId="55" xfId="0" applyFont="1" applyBorder="1" applyAlignment="1" applyProtection="1">
      <alignment horizontal="center"/>
    </xf>
    <xf numFmtId="0" fontId="3" fillId="0" borderId="60" xfId="0" applyFont="1" applyBorder="1" applyAlignment="1" applyProtection="1">
      <alignment horizontal="center"/>
    </xf>
    <xf numFmtId="0" fontId="6" fillId="0" borderId="2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 textRotation="90"/>
    </xf>
    <xf numFmtId="0" fontId="2" fillId="5" borderId="5" xfId="0" applyFont="1" applyFill="1" applyBorder="1" applyAlignment="1" applyProtection="1">
      <alignment horizontal="center" vertical="center"/>
      <protection locked="0"/>
    </xf>
    <xf numFmtId="2" fontId="2" fillId="3" borderId="0" xfId="0" applyNumberFormat="1" applyFont="1" applyFill="1" applyBorder="1" applyAlignment="1" applyProtection="1">
      <alignment horizontal="center" vertical="center"/>
    </xf>
    <xf numFmtId="2" fontId="2" fillId="2" borderId="0" xfId="0" applyNumberFormat="1" applyFont="1" applyFill="1" applyBorder="1" applyAlignment="1" applyProtection="1">
      <alignment horizontal="center" vertical="center"/>
    </xf>
    <xf numFmtId="2" fontId="2" fillId="2" borderId="1" xfId="0" applyNumberFormat="1" applyFont="1" applyFill="1" applyBorder="1" applyAlignment="1" applyProtection="1">
      <alignment horizontal="center" vertical="center"/>
    </xf>
    <xf numFmtId="0" fontId="2" fillId="3" borderId="28" xfId="0" applyFont="1" applyFill="1" applyBorder="1" applyAlignment="1" applyProtection="1">
      <alignment horizontal="center" vertical="center"/>
    </xf>
    <xf numFmtId="2" fontId="2" fillId="3" borderId="75" xfId="0" applyNumberFormat="1" applyFont="1" applyFill="1" applyBorder="1" applyAlignment="1" applyProtection="1">
      <alignment horizontal="center" vertical="center"/>
    </xf>
    <xf numFmtId="0" fontId="2" fillId="3" borderId="29" xfId="0" applyFont="1" applyFill="1" applyBorder="1" applyAlignment="1" applyProtection="1">
      <alignment horizontal="center" vertical="center"/>
    </xf>
    <xf numFmtId="2" fontId="2" fillId="3" borderId="76" xfId="0" applyNumberFormat="1" applyFont="1" applyFill="1" applyBorder="1" applyAlignment="1" applyProtection="1">
      <alignment horizontal="center" vertical="center"/>
    </xf>
    <xf numFmtId="0" fontId="2" fillId="2" borderId="29" xfId="0" applyFont="1" applyFill="1" applyBorder="1" applyAlignment="1" applyProtection="1">
      <alignment horizontal="center" vertical="center"/>
    </xf>
    <xf numFmtId="2" fontId="2" fillId="2" borderId="76" xfId="0" applyNumberFormat="1" applyFont="1" applyFill="1" applyBorder="1" applyAlignment="1" applyProtection="1">
      <alignment horizontal="center" vertical="center"/>
    </xf>
    <xf numFmtId="0" fontId="2" fillId="2" borderId="30" xfId="0" applyFont="1" applyFill="1" applyBorder="1" applyAlignment="1" applyProtection="1">
      <alignment horizontal="center" vertical="center"/>
    </xf>
    <xf numFmtId="2" fontId="2" fillId="2" borderId="77" xfId="0" applyNumberFormat="1" applyFont="1" applyFill="1" applyBorder="1" applyAlignment="1" applyProtection="1">
      <alignment horizontal="center" vertical="center"/>
    </xf>
    <xf numFmtId="2" fontId="2" fillId="0" borderId="31" xfId="0" applyNumberFormat="1" applyFont="1" applyBorder="1" applyAlignment="1" applyProtection="1">
      <alignment horizontal="center" textRotation="90"/>
    </xf>
    <xf numFmtId="1" fontId="2" fillId="0" borderId="10" xfId="0" applyNumberFormat="1" applyFont="1" applyBorder="1" applyAlignment="1" applyProtection="1">
      <alignment textRotation="90"/>
    </xf>
    <xf numFmtId="2" fontId="6" fillId="0" borderId="32" xfId="0" applyNumberFormat="1" applyFont="1" applyBorder="1" applyAlignment="1" applyProtection="1">
      <alignment horizontal="center"/>
    </xf>
    <xf numFmtId="0" fontId="0" fillId="10" borderId="86" xfId="0" applyFill="1" applyBorder="1" applyAlignment="1" applyProtection="1">
      <alignment horizontal="center"/>
      <protection locked="0"/>
    </xf>
    <xf numFmtId="0" fontId="0" fillId="10" borderId="87" xfId="0" applyFill="1" applyBorder="1" applyAlignment="1" applyProtection="1">
      <alignment horizontal="center"/>
      <protection locked="0"/>
    </xf>
    <xf numFmtId="0" fontId="0" fillId="11" borderId="87" xfId="0" applyFill="1" applyBorder="1" applyAlignment="1" applyProtection="1">
      <alignment horizontal="center"/>
      <protection locked="0"/>
    </xf>
    <xf numFmtId="0" fontId="0" fillId="0" borderId="51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2" fillId="0" borderId="78" xfId="0" applyFont="1" applyBorder="1" applyAlignment="1" applyProtection="1">
      <alignment horizontal="center" vertical="center"/>
    </xf>
    <xf numFmtId="0" fontId="2" fillId="0" borderId="66" xfId="0" applyFont="1" applyBorder="1" applyAlignment="1" applyProtection="1">
      <alignment horizontal="center" vertical="center"/>
    </xf>
    <xf numFmtId="0" fontId="2" fillId="0" borderId="79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textRotation="90"/>
    </xf>
    <xf numFmtId="0" fontId="2" fillId="0" borderId="36" xfId="0" applyFont="1" applyBorder="1" applyAlignment="1" applyProtection="1">
      <alignment horizontal="center" textRotation="90"/>
    </xf>
    <xf numFmtId="0" fontId="3" fillId="0" borderId="52" xfId="0" applyNumberFormat="1" applyFont="1" applyFill="1" applyBorder="1" applyAlignment="1" applyProtection="1">
      <alignment horizontal="center" textRotation="90"/>
    </xf>
    <xf numFmtId="0" fontId="3" fillId="0" borderId="65" xfId="0" applyNumberFormat="1" applyFont="1" applyFill="1" applyBorder="1" applyAlignment="1" applyProtection="1">
      <alignment horizontal="center" textRotation="90"/>
    </xf>
    <xf numFmtId="0" fontId="3" fillId="0" borderId="80" xfId="0" applyFont="1" applyBorder="1" applyAlignment="1" applyProtection="1">
      <alignment horizontal="center"/>
    </xf>
    <xf numFmtId="0" fontId="3" fillId="0" borderId="81" xfId="0" applyFont="1" applyBorder="1" applyAlignment="1" applyProtection="1">
      <alignment horizontal="center"/>
    </xf>
    <xf numFmtId="0" fontId="3" fillId="0" borderId="82" xfId="0" applyFont="1" applyBorder="1" applyAlignment="1" applyProtection="1">
      <alignment horizontal="center"/>
    </xf>
    <xf numFmtId="0" fontId="3" fillId="0" borderId="83" xfId="0" applyFont="1" applyBorder="1" applyAlignment="1" applyProtection="1">
      <alignment horizontal="center"/>
    </xf>
    <xf numFmtId="1" fontId="3" fillId="0" borderId="82" xfId="0" applyNumberFormat="1" applyFont="1" applyFill="1" applyBorder="1" applyAlignment="1" applyProtection="1">
      <alignment horizontal="center" textRotation="90"/>
    </xf>
    <xf numFmtId="1" fontId="3" fillId="0" borderId="83" xfId="0" applyNumberFormat="1" applyFont="1" applyFill="1" applyBorder="1" applyAlignment="1" applyProtection="1">
      <alignment horizontal="center" textRotation="90"/>
    </xf>
    <xf numFmtId="2" fontId="3" fillId="0" borderId="84" xfId="0" applyNumberFormat="1" applyFont="1" applyFill="1" applyBorder="1" applyAlignment="1" applyProtection="1">
      <alignment horizontal="center" textRotation="90"/>
    </xf>
    <xf numFmtId="2" fontId="3" fillId="0" borderId="85" xfId="0" applyNumberFormat="1" applyFont="1" applyFill="1" applyBorder="1" applyAlignment="1" applyProtection="1">
      <alignment horizontal="center" textRotation="90"/>
    </xf>
    <xf numFmtId="1" fontId="2" fillId="0" borderId="45" xfId="0" applyNumberFormat="1" applyFont="1" applyBorder="1" applyAlignment="1" applyProtection="1">
      <alignment horizontal="center"/>
    </xf>
    <xf numFmtId="1" fontId="6" fillId="0" borderId="45" xfId="0" applyNumberFormat="1" applyFont="1" applyBorder="1" applyAlignment="1" applyProtection="1">
      <alignment horizontal="center"/>
    </xf>
    <xf numFmtId="1" fontId="6" fillId="0" borderId="50" xfId="0" applyNumberFormat="1" applyFont="1" applyBorder="1" applyAlignment="1" applyProtection="1">
      <alignment horizontal="center"/>
    </xf>
    <xf numFmtId="1" fontId="3" fillId="0" borderId="52" xfId="0" applyNumberFormat="1" applyFont="1" applyFill="1" applyBorder="1" applyAlignment="1" applyProtection="1">
      <alignment horizontal="center" textRotation="90"/>
    </xf>
    <xf numFmtId="1" fontId="3" fillId="0" borderId="65" xfId="0" applyNumberFormat="1" applyFont="1" applyFill="1" applyBorder="1" applyAlignment="1" applyProtection="1">
      <alignment horizontal="center" textRotation="90"/>
    </xf>
    <xf numFmtId="0" fontId="3" fillId="0" borderId="22" xfId="0" applyFont="1" applyBorder="1" applyAlignment="1" applyProtection="1">
      <alignment horizontal="center" textRotation="90"/>
    </xf>
    <xf numFmtId="0" fontId="6" fillId="0" borderId="48" xfId="0" applyFont="1" applyBorder="1" applyAlignment="1" applyProtection="1">
      <alignment horizontal="center" textRotation="90"/>
    </xf>
    <xf numFmtId="0" fontId="6" fillId="0" borderId="24" xfId="0" applyFont="1" applyBorder="1" applyAlignment="1" applyProtection="1">
      <alignment horizontal="center" textRotation="90"/>
    </xf>
    <xf numFmtId="2" fontId="6" fillId="0" borderId="37" xfId="0" applyNumberFormat="1" applyFont="1" applyBorder="1" applyAlignment="1" applyProtection="1">
      <alignment horizontal="center" vertical="center"/>
    </xf>
    <xf numFmtId="2" fontId="6" fillId="0" borderId="22" xfId="0" applyNumberFormat="1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6" fillId="0" borderId="45" xfId="0" applyFont="1" applyBorder="1" applyAlignment="1" applyProtection="1">
      <alignment horizontal="center" vertical="center"/>
    </xf>
    <xf numFmtId="2" fontId="6" fillId="0" borderId="45" xfId="0" applyNumberFormat="1" applyFont="1" applyBorder="1" applyAlignment="1" applyProtection="1">
      <alignment horizontal="center" vertical="center"/>
    </xf>
    <xf numFmtId="2" fontId="6" fillId="0" borderId="45" xfId="0" applyNumberFormat="1" applyFont="1" applyBorder="1" applyAlignment="1" applyProtection="1">
      <alignment horizontal="center" textRotation="90"/>
    </xf>
    <xf numFmtId="2" fontId="6" fillId="0" borderId="10" xfId="0" applyNumberFormat="1" applyFont="1" applyBorder="1" applyAlignment="1" applyProtection="1">
      <alignment horizontal="center" textRotation="90"/>
    </xf>
    <xf numFmtId="0" fontId="2" fillId="0" borderId="49" xfId="0" applyFont="1" applyBorder="1" applyAlignment="1" applyProtection="1">
      <alignment horizontal="center" textRotation="90"/>
    </xf>
    <xf numFmtId="0" fontId="6" fillId="0" borderId="50" xfId="0" applyFont="1" applyBorder="1" applyAlignment="1" applyProtection="1">
      <alignment horizontal="center" textRotation="90"/>
    </xf>
    <xf numFmtId="0" fontId="6" fillId="0" borderId="31" xfId="0" applyFont="1" applyBorder="1" applyAlignment="1" applyProtection="1">
      <alignment horizontal="center" textRotation="90"/>
    </xf>
    <xf numFmtId="2" fontId="6" fillId="0" borderId="22" xfId="0" applyNumberFormat="1" applyFont="1" applyBorder="1" applyAlignment="1" applyProtection="1">
      <alignment horizontal="center"/>
    </xf>
    <xf numFmtId="0" fontId="2" fillId="0" borderId="33" xfId="0" applyFont="1" applyBorder="1" applyAlignment="1" applyProtection="1">
      <alignment horizontal="center"/>
    </xf>
    <xf numFmtId="0" fontId="2" fillId="0" borderId="27" xfId="0" applyFont="1" applyBorder="1" applyAlignment="1" applyProtection="1">
      <alignment horizontal="center"/>
    </xf>
    <xf numFmtId="0" fontId="2" fillId="0" borderId="34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2" fillId="0" borderId="35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6" xfId="0" applyFont="1" applyBorder="1" applyAlignment="1" applyProtection="1">
      <alignment horizontal="center"/>
    </xf>
    <xf numFmtId="0" fontId="3" fillId="0" borderId="37" xfId="0" applyFont="1" applyBorder="1" applyAlignment="1" applyProtection="1">
      <alignment horizontal="center" textRotation="90"/>
    </xf>
    <xf numFmtId="0" fontId="3" fillId="0" borderId="38" xfId="0" applyFont="1" applyBorder="1" applyAlignment="1" applyProtection="1">
      <alignment horizontal="center" textRotation="90"/>
    </xf>
    <xf numFmtId="0" fontId="3" fillId="0" borderId="21" xfId="0" applyFont="1" applyBorder="1" applyAlignment="1" applyProtection="1">
      <alignment horizontal="center" textRotation="90"/>
    </xf>
    <xf numFmtId="164" fontId="2" fillId="0" borderId="39" xfId="0" applyNumberFormat="1" applyFont="1" applyBorder="1" applyAlignment="1" applyProtection="1">
      <alignment horizontal="center" textRotation="90"/>
    </xf>
    <xf numFmtId="164" fontId="6" fillId="0" borderId="40" xfId="0" applyNumberFormat="1" applyFont="1" applyBorder="1" applyAlignment="1" applyProtection="1">
      <alignment horizontal="center" textRotation="90"/>
    </xf>
    <xf numFmtId="0" fontId="2" fillId="0" borderId="41" xfId="0" applyFont="1" applyBorder="1" applyAlignment="1" applyProtection="1">
      <alignment horizontal="center" textRotation="90"/>
    </xf>
    <xf numFmtId="0" fontId="6" fillId="0" borderId="39" xfId="0" applyFont="1" applyBorder="1" applyAlignment="1" applyProtection="1">
      <alignment horizontal="center" textRotation="90"/>
    </xf>
    <xf numFmtId="0" fontId="6" fillId="0" borderId="40" xfId="0" applyFont="1" applyBorder="1" applyAlignment="1" applyProtection="1">
      <alignment horizontal="center" textRotation="90"/>
    </xf>
    <xf numFmtId="2" fontId="6" fillId="0" borderId="42" xfId="0" applyNumberFormat="1" applyFont="1" applyBorder="1" applyAlignment="1" applyProtection="1">
      <alignment horizontal="center" vertical="center"/>
    </xf>
    <xf numFmtId="2" fontId="6" fillId="0" borderId="43" xfId="0" applyNumberFormat="1" applyFont="1" applyBorder="1" applyAlignment="1" applyProtection="1">
      <alignment horizontal="center" vertical="center"/>
    </xf>
    <xf numFmtId="2" fontId="6" fillId="0" borderId="41" xfId="0" applyNumberFormat="1" applyFont="1" applyBorder="1" applyAlignment="1" applyProtection="1">
      <alignment horizontal="center" vertical="center"/>
    </xf>
    <xf numFmtId="2" fontId="6" fillId="0" borderId="44" xfId="0" applyNumberFormat="1" applyFont="1" applyBorder="1" applyAlignment="1" applyProtection="1">
      <alignment horizontal="center" vertical="center"/>
    </xf>
    <xf numFmtId="164" fontId="3" fillId="0" borderId="45" xfId="0" applyNumberFormat="1" applyFont="1" applyBorder="1" applyAlignment="1" applyProtection="1">
      <alignment horizontal="center" textRotation="90"/>
    </xf>
    <xf numFmtId="164" fontId="3" fillId="0" borderId="10" xfId="0" applyNumberFormat="1" applyFont="1" applyBorder="1" applyAlignment="1" applyProtection="1">
      <alignment horizontal="center" textRotation="90"/>
    </xf>
    <xf numFmtId="2" fontId="6" fillId="0" borderId="45" xfId="0" applyNumberFormat="1" applyFont="1" applyBorder="1" applyAlignment="1">
      <alignment horizontal="center"/>
    </xf>
    <xf numFmtId="0" fontId="2" fillId="0" borderId="46" xfId="0" applyFont="1" applyBorder="1" applyAlignment="1" applyProtection="1">
      <alignment horizontal="center" textRotation="90"/>
    </xf>
    <xf numFmtId="0" fontId="6" fillId="0" borderId="47" xfId="0" applyFont="1" applyBorder="1" applyAlignment="1" applyProtection="1">
      <alignment horizontal="center" textRotation="90"/>
    </xf>
    <xf numFmtId="1" fontId="2" fillId="0" borderId="45" xfId="0" applyNumberFormat="1" applyFont="1" applyBorder="1" applyAlignment="1" applyProtection="1">
      <alignment horizontal="center" textRotation="90"/>
    </xf>
    <xf numFmtId="1" fontId="6" fillId="0" borderId="10" xfId="0" applyNumberFormat="1" applyFont="1" applyBorder="1" applyAlignment="1" applyProtection="1">
      <alignment horizontal="center" textRotation="90"/>
    </xf>
    <xf numFmtId="0" fontId="2" fillId="0" borderId="48" xfId="0" applyFont="1" applyBorder="1" applyAlignment="1" applyProtection="1">
      <alignment horizontal="center" textRotation="90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236220</xdr:colOff>
      <xdr:row>3</xdr:row>
      <xdr:rowOff>297180</xdr:rowOff>
    </xdr:from>
    <xdr:to>
      <xdr:col>2</xdr:col>
      <xdr:colOff>1386840</xdr:colOff>
      <xdr:row>3</xdr:row>
      <xdr:rowOff>967740</xdr:rowOff>
    </xdr:to>
    <xdr:pic>
      <xdr:nvPicPr>
        <xdr:cNvPr id="1385" name="Picture 2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005840"/>
          <a:ext cx="1150620" cy="670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1</xdr:col>
      <xdr:colOff>38100</xdr:colOff>
      <xdr:row>1</xdr:row>
      <xdr:rowOff>76200</xdr:rowOff>
    </xdr:from>
    <xdr:to>
      <xdr:col>3</xdr:col>
      <xdr:colOff>251460</xdr:colOff>
      <xdr:row>3</xdr:row>
      <xdr:rowOff>38100</xdr:rowOff>
    </xdr:to>
    <xdr:pic>
      <xdr:nvPicPr>
        <xdr:cNvPr id="1386" name="Picture 4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69" t="13550" r="5759" b="22353"/>
        <a:stretch>
          <a:fillRect/>
        </a:stretch>
      </xdr:blipFill>
      <xdr:spPr bwMode="auto">
        <a:xfrm>
          <a:off x="251460" y="312420"/>
          <a:ext cx="204978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K110"/>
  <sheetViews>
    <sheetView showRowColHeaders="0" tabSelected="1" zoomScaleNormal="100" workbookViewId="0">
      <pane xSplit="4" ySplit="4" topLeftCell="F9" activePane="bottomRight" state="frozen"/>
      <selection pane="topRight" activeCell="E1" sqref="E1"/>
      <selection pane="bottomLeft" activeCell="A5" sqref="A5"/>
      <selection pane="bottomRight" activeCell="AW36" sqref="AW36"/>
    </sheetView>
  </sheetViews>
  <sheetFormatPr defaultColWidth="9.109375" defaultRowHeight="13.2" x14ac:dyDescent="0.25"/>
  <cols>
    <col min="1" max="1" width="3.109375" style="1" customWidth="1"/>
    <col min="2" max="2" width="4" style="1" bestFit="1" customWidth="1"/>
    <col min="3" max="3" width="22.77734375" style="1" bestFit="1" customWidth="1"/>
    <col min="4" max="4" width="4.109375" style="1" bestFit="1" customWidth="1"/>
    <col min="5" max="5" width="3.33203125" style="1" bestFit="1" customWidth="1"/>
    <col min="6" max="6" width="3.33203125" style="1" customWidth="1"/>
    <col min="7" max="7" width="3.33203125" style="3" bestFit="1" customWidth="1"/>
    <col min="8" max="8" width="3.33203125" style="1" bestFit="1" customWidth="1"/>
    <col min="9" max="9" width="3.33203125" style="3" bestFit="1" customWidth="1"/>
    <col min="10" max="10" width="6.5546875" style="117" bestFit="1" customWidth="1"/>
    <col min="11" max="12" width="6.5546875" style="6" bestFit="1" customWidth="1"/>
    <col min="13" max="13" width="6.5546875" style="7" bestFit="1" customWidth="1"/>
    <col min="14" max="14" width="3.33203125" style="7" bestFit="1" customWidth="1"/>
    <col min="15" max="15" width="3.33203125" style="3" bestFit="1" customWidth="1"/>
    <col min="16" max="16" width="3.33203125" style="1" bestFit="1" customWidth="1"/>
    <col min="17" max="17" width="3.33203125" style="3" bestFit="1" customWidth="1"/>
    <col min="18" max="18" width="6.5546875" style="117" bestFit="1" customWidth="1"/>
    <col min="19" max="21" width="6.5546875" style="6" bestFit="1" customWidth="1"/>
    <col min="22" max="22" width="3.33203125" style="7" bestFit="1" customWidth="1"/>
    <col min="23" max="23" width="3.33203125" style="6" bestFit="1" customWidth="1"/>
    <col min="24" max="24" width="9.77734375" style="6" bestFit="1" customWidth="1"/>
    <col min="25" max="25" width="3.33203125" style="2" customWidth="1"/>
    <col min="26" max="26" width="4.109375" style="1" hidden="1" customWidth="1"/>
    <col min="27" max="27" width="3.6640625" style="1" hidden="1" customWidth="1"/>
    <col min="28" max="28" width="6.5546875" style="117" hidden="1" customWidth="1"/>
    <col min="29" max="29" width="6.5546875" style="6" hidden="1" customWidth="1"/>
    <col min="30" max="30" width="6" style="3" hidden="1" customWidth="1"/>
    <col min="31" max="31" width="8.5546875" style="6" hidden="1" customWidth="1"/>
    <col min="32" max="32" width="3.6640625" style="6" hidden="1" customWidth="1"/>
    <col min="33" max="33" width="3.6640625" style="119" hidden="1" customWidth="1"/>
    <col min="34" max="34" width="6.5546875" style="117" hidden="1" customWidth="1"/>
    <col min="35" max="35" width="6.5546875" style="6" hidden="1" customWidth="1"/>
    <col min="36" max="36" width="6" style="3" hidden="1" customWidth="1"/>
    <col min="37" max="37" width="8.5546875" style="6" hidden="1" customWidth="1"/>
    <col min="38" max="38" width="4.5546875" style="6" hidden="1" customWidth="1"/>
    <col min="39" max="39" width="8.5546875" style="6" hidden="1" customWidth="1"/>
    <col min="40" max="40" width="3.6640625" style="2" hidden="1" customWidth="1"/>
    <col min="41" max="41" width="10.5546875" style="7" hidden="1" customWidth="1"/>
    <col min="42" max="42" width="8.44140625" style="7" hidden="1" customWidth="1"/>
    <col min="43" max="43" width="4.5546875" style="8" hidden="1" customWidth="1"/>
    <col min="44" max="44" width="6.5546875" style="81" hidden="1" customWidth="1"/>
    <col min="45" max="45" width="4" style="82" hidden="1" customWidth="1"/>
    <col min="46" max="46" width="4.5546875" style="8" hidden="1" customWidth="1"/>
    <col min="47" max="47" width="6.5546875" style="81" hidden="1" customWidth="1"/>
    <col min="48" max="48" width="6.5546875" style="6" hidden="1" customWidth="1"/>
    <col min="49" max="49" width="10.5546875" style="5" bestFit="1" customWidth="1"/>
    <col min="50" max="50" width="3.77734375" style="9" bestFit="1" customWidth="1"/>
    <col min="51" max="51" width="3.33203125" style="9" bestFit="1" customWidth="1"/>
    <col min="52" max="52" width="3.6640625" style="4" customWidth="1"/>
    <col min="53" max="53" width="3.33203125" style="4" bestFit="1" customWidth="1"/>
    <col min="54" max="54" width="2.109375" style="1" customWidth="1"/>
    <col min="55" max="55" width="2" style="1" hidden="1" customWidth="1"/>
    <col min="56" max="56" width="4" style="1" hidden="1" customWidth="1"/>
    <col min="57" max="60" width="9.109375" style="1" hidden="1" customWidth="1"/>
    <col min="61" max="61" width="8.33203125" style="1" hidden="1" customWidth="1"/>
    <col min="62" max="62" width="7.109375" style="1" customWidth="1"/>
    <col min="63" max="63" width="22.77734375" style="1" customWidth="1"/>
    <col min="64" max="64" width="5" style="1" customWidth="1"/>
    <col min="65" max="16384" width="9.109375" style="1"/>
  </cols>
  <sheetData>
    <row r="1" spans="2:63" ht="19.05" customHeight="1" thickBot="1" x14ac:dyDescent="0.3">
      <c r="BB1" s="2"/>
    </row>
    <row r="2" spans="2:63" ht="19.05" customHeight="1" thickTop="1" x14ac:dyDescent="0.25">
      <c r="B2" s="284" t="s">
        <v>12</v>
      </c>
      <c r="C2" s="285"/>
      <c r="D2" s="286"/>
      <c r="E2" s="293" t="s">
        <v>33</v>
      </c>
      <c r="F2" s="293" t="s">
        <v>34</v>
      </c>
      <c r="G2" s="298" t="s">
        <v>35</v>
      </c>
      <c r="H2" s="301" t="s">
        <v>13</v>
      </c>
      <c r="I2" s="274"/>
      <c r="J2" s="274"/>
      <c r="K2" s="274"/>
      <c r="L2" s="274"/>
      <c r="M2" s="274"/>
      <c r="N2" s="302"/>
      <c r="O2" s="303"/>
      <c r="P2" s="304" t="s">
        <v>14</v>
      </c>
      <c r="Q2" s="274"/>
      <c r="R2" s="274"/>
      <c r="S2" s="274"/>
      <c r="T2" s="274"/>
      <c r="U2" s="274"/>
      <c r="V2" s="274"/>
      <c r="W2" s="274"/>
      <c r="X2" s="270" t="s">
        <v>52</v>
      </c>
      <c r="Y2" s="280" t="s">
        <v>53</v>
      </c>
      <c r="Z2" s="141">
        <f>MAX(Z9:Z108)</f>
        <v>60</v>
      </c>
      <c r="AA2" s="273" t="s">
        <v>0</v>
      </c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83" t="s">
        <v>15</v>
      </c>
      <c r="AO2" s="283"/>
      <c r="AP2" s="283"/>
      <c r="AQ2" s="283"/>
      <c r="AR2" s="283"/>
      <c r="AS2" s="283"/>
      <c r="AT2" s="184"/>
      <c r="AU2" s="184"/>
      <c r="AV2" s="244"/>
      <c r="AW2" s="250" t="s">
        <v>4</v>
      </c>
      <c r="AX2" s="251"/>
      <c r="AY2" s="251"/>
      <c r="AZ2" s="251"/>
      <c r="BA2" s="252"/>
      <c r="BB2" s="105"/>
      <c r="BC2" s="93"/>
      <c r="BD2" s="94"/>
      <c r="BE2" s="104"/>
      <c r="BF2" s="104"/>
      <c r="BG2" s="104"/>
      <c r="BH2" s="104"/>
      <c r="BI2" s="104"/>
      <c r="BJ2" s="248" t="s">
        <v>8</v>
      </c>
      <c r="BK2" s="249"/>
    </row>
    <row r="3" spans="2:63" ht="19.05" customHeight="1" x14ac:dyDescent="0.25">
      <c r="B3" s="287"/>
      <c r="C3" s="288"/>
      <c r="D3" s="289"/>
      <c r="E3" s="294"/>
      <c r="F3" s="294"/>
      <c r="G3" s="299"/>
      <c r="H3" s="308" t="s">
        <v>36</v>
      </c>
      <c r="I3" s="310" t="s">
        <v>37</v>
      </c>
      <c r="J3" s="305" t="s">
        <v>38</v>
      </c>
      <c r="K3" s="307" t="s">
        <v>5</v>
      </c>
      <c r="L3" s="307"/>
      <c r="M3" s="307"/>
      <c r="N3" s="296" t="s">
        <v>42</v>
      </c>
      <c r="O3" s="296" t="s">
        <v>43</v>
      </c>
      <c r="P3" s="312" t="s">
        <v>44</v>
      </c>
      <c r="Q3" s="310" t="s">
        <v>45</v>
      </c>
      <c r="R3" s="305" t="s">
        <v>46</v>
      </c>
      <c r="S3" s="307" t="s">
        <v>5</v>
      </c>
      <c r="T3" s="307"/>
      <c r="U3" s="307"/>
      <c r="V3" s="296" t="s">
        <v>50</v>
      </c>
      <c r="W3" s="296" t="s">
        <v>51</v>
      </c>
      <c r="X3" s="271"/>
      <c r="Y3" s="281"/>
      <c r="Z3" s="253" t="s">
        <v>11</v>
      </c>
      <c r="AA3" s="275" t="s">
        <v>13</v>
      </c>
      <c r="AB3" s="276"/>
      <c r="AC3" s="276"/>
      <c r="AD3" s="276"/>
      <c r="AE3" s="277"/>
      <c r="AF3" s="278" t="s">
        <v>16</v>
      </c>
      <c r="AG3" s="277" t="s">
        <v>14</v>
      </c>
      <c r="AH3" s="277"/>
      <c r="AI3" s="277"/>
      <c r="AJ3" s="277"/>
      <c r="AK3" s="277"/>
      <c r="AL3" s="278" t="s">
        <v>32</v>
      </c>
      <c r="AM3" s="278" t="s">
        <v>17</v>
      </c>
      <c r="AN3" s="266" t="s">
        <v>18</v>
      </c>
      <c r="AO3" s="266"/>
      <c r="AP3" s="266"/>
      <c r="AQ3" s="266" t="s">
        <v>19</v>
      </c>
      <c r="AR3" s="266"/>
      <c r="AS3" s="266"/>
      <c r="AT3" s="265" t="s">
        <v>63</v>
      </c>
      <c r="AU3" s="266"/>
      <c r="AV3" s="267"/>
      <c r="AW3" s="263" t="s">
        <v>2</v>
      </c>
      <c r="AX3" s="255" t="s">
        <v>6</v>
      </c>
      <c r="AY3" s="255" t="s">
        <v>7</v>
      </c>
      <c r="AZ3" s="268" t="s">
        <v>1</v>
      </c>
      <c r="BA3" s="261" t="s">
        <v>3</v>
      </c>
      <c r="BC3" s="95"/>
      <c r="BD3" s="96"/>
      <c r="BE3" s="10"/>
      <c r="BF3" s="10"/>
      <c r="BG3" s="10"/>
      <c r="BH3" s="10"/>
      <c r="BI3" s="10"/>
      <c r="BJ3" s="257" t="s">
        <v>1</v>
      </c>
      <c r="BK3" s="259" t="s">
        <v>9</v>
      </c>
    </row>
    <row r="4" spans="2:63" ht="156" customHeight="1" thickBot="1" x14ac:dyDescent="0.3">
      <c r="B4" s="290"/>
      <c r="C4" s="291"/>
      <c r="D4" s="292"/>
      <c r="E4" s="295"/>
      <c r="F4" s="295"/>
      <c r="G4" s="300"/>
      <c r="H4" s="309"/>
      <c r="I4" s="311"/>
      <c r="J4" s="306"/>
      <c r="K4" s="193" t="s">
        <v>39</v>
      </c>
      <c r="L4" s="193" t="s">
        <v>40</v>
      </c>
      <c r="M4" s="194" t="s">
        <v>41</v>
      </c>
      <c r="N4" s="297"/>
      <c r="O4" s="297"/>
      <c r="P4" s="272"/>
      <c r="Q4" s="311"/>
      <c r="R4" s="306"/>
      <c r="S4" s="193" t="s">
        <v>47</v>
      </c>
      <c r="T4" s="193" t="s">
        <v>48</v>
      </c>
      <c r="U4" s="193" t="s">
        <v>49</v>
      </c>
      <c r="V4" s="297"/>
      <c r="W4" s="297"/>
      <c r="X4" s="272"/>
      <c r="Y4" s="282"/>
      <c r="Z4" s="254"/>
      <c r="AA4" s="180" t="s">
        <v>20</v>
      </c>
      <c r="AB4" s="181" t="s">
        <v>21</v>
      </c>
      <c r="AC4" s="106" t="s">
        <v>22</v>
      </c>
      <c r="AD4" s="150" t="s">
        <v>23</v>
      </c>
      <c r="AE4" s="106" t="s">
        <v>24</v>
      </c>
      <c r="AF4" s="279"/>
      <c r="AG4" s="182" t="s">
        <v>25</v>
      </c>
      <c r="AH4" s="181" t="s">
        <v>26</v>
      </c>
      <c r="AI4" s="106" t="s">
        <v>27</v>
      </c>
      <c r="AJ4" s="150" t="s">
        <v>28</v>
      </c>
      <c r="AK4" s="106" t="s">
        <v>29</v>
      </c>
      <c r="AL4" s="279"/>
      <c r="AM4" s="279"/>
      <c r="AN4" s="183" t="s">
        <v>1</v>
      </c>
      <c r="AO4" s="193" t="s">
        <v>57</v>
      </c>
      <c r="AP4" s="193" t="s">
        <v>59</v>
      </c>
      <c r="AQ4" s="183" t="s">
        <v>31</v>
      </c>
      <c r="AR4" s="193" t="s">
        <v>58</v>
      </c>
      <c r="AS4" s="193" t="s">
        <v>60</v>
      </c>
      <c r="AT4" s="243" t="s">
        <v>61</v>
      </c>
      <c r="AU4" s="193" t="s">
        <v>30</v>
      </c>
      <c r="AV4" s="242" t="s">
        <v>62</v>
      </c>
      <c r="AW4" s="264"/>
      <c r="AX4" s="256"/>
      <c r="AY4" s="256"/>
      <c r="AZ4" s="269"/>
      <c r="BA4" s="262"/>
      <c r="BC4" s="103">
        <f ca="1">SUM(BC9:BC108)</f>
        <v>29</v>
      </c>
      <c r="BD4" s="96"/>
      <c r="BE4" s="80"/>
      <c r="BF4" s="80"/>
      <c r="BG4" s="80"/>
      <c r="BH4" s="80"/>
      <c r="BI4" s="80"/>
      <c r="BJ4" s="258"/>
      <c r="BK4" s="260"/>
    </row>
    <row r="5" spans="2:63" ht="13.2" hidden="1" customHeight="1" x14ac:dyDescent="0.25">
      <c r="B5" s="186"/>
      <c r="C5" s="187"/>
      <c r="D5" s="188"/>
      <c r="E5" s="198"/>
      <c r="F5" s="199"/>
      <c r="G5" s="200"/>
      <c r="H5" s="201"/>
      <c r="I5" s="202"/>
      <c r="J5" s="203"/>
      <c r="K5" s="204"/>
      <c r="L5" s="205"/>
      <c r="M5" s="204"/>
      <c r="N5" s="229"/>
      <c r="O5" s="207"/>
      <c r="P5" s="208"/>
      <c r="Q5" s="202"/>
      <c r="R5" s="203"/>
      <c r="S5" s="205"/>
      <c r="T5" s="209"/>
      <c r="U5" s="209"/>
      <c r="V5" s="206"/>
      <c r="W5" s="210"/>
      <c r="X5" s="227"/>
      <c r="Y5" s="211"/>
      <c r="Z5" s="185"/>
      <c r="AA5" s="212"/>
      <c r="AB5" s="206"/>
      <c r="AC5" s="213"/>
      <c r="AD5" s="202"/>
      <c r="AE5" s="213"/>
      <c r="AF5" s="213"/>
      <c r="AG5" s="214"/>
      <c r="AH5" s="206"/>
      <c r="AI5" s="213"/>
      <c r="AJ5" s="202"/>
      <c r="AK5" s="213"/>
      <c r="AL5" s="213"/>
      <c r="AM5" s="213"/>
      <c r="AN5" s="215"/>
      <c r="AO5" s="213"/>
      <c r="AP5" s="213"/>
      <c r="AQ5" s="215"/>
      <c r="AR5" s="216"/>
      <c r="AS5" s="217"/>
      <c r="AT5" s="215"/>
      <c r="AU5" s="216"/>
      <c r="AV5" s="213"/>
      <c r="AW5" s="218"/>
      <c r="AX5" s="219"/>
      <c r="AY5" s="219"/>
      <c r="AZ5" s="220"/>
      <c r="BA5" s="221"/>
      <c r="BC5" s="222"/>
      <c r="BD5" s="223"/>
      <c r="BE5" s="224"/>
      <c r="BF5" s="224"/>
      <c r="BG5" s="224"/>
      <c r="BH5" s="224"/>
      <c r="BI5" s="224"/>
      <c r="BJ5" s="225"/>
      <c r="BK5" s="226"/>
    </row>
    <row r="6" spans="2:63" ht="13.2" hidden="1" customHeight="1" x14ac:dyDescent="0.25">
      <c r="B6" s="186"/>
      <c r="C6" s="187"/>
      <c r="D6" s="188"/>
      <c r="E6" s="198"/>
      <c r="F6" s="199"/>
      <c r="G6" s="200"/>
      <c r="H6" s="201"/>
      <c r="I6" s="202"/>
      <c r="J6" s="203"/>
      <c r="K6" s="204"/>
      <c r="L6" s="205"/>
      <c r="M6" s="204"/>
      <c r="N6" s="229"/>
      <c r="O6" s="207"/>
      <c r="P6" s="208"/>
      <c r="Q6" s="202"/>
      <c r="R6" s="203"/>
      <c r="S6" s="205"/>
      <c r="T6" s="209"/>
      <c r="U6" s="209"/>
      <c r="V6" s="206"/>
      <c r="W6" s="210"/>
      <c r="X6" s="228" t="s">
        <v>54</v>
      </c>
      <c r="Y6" s="211"/>
      <c r="Z6" s="185"/>
      <c r="AA6" s="212"/>
      <c r="AB6" s="206"/>
      <c r="AC6" s="213"/>
      <c r="AD6" s="202"/>
      <c r="AE6" s="213"/>
      <c r="AF6" s="213"/>
      <c r="AG6" s="214"/>
      <c r="AH6" s="206"/>
      <c r="AI6" s="213"/>
      <c r="AJ6" s="202"/>
      <c r="AK6" s="213"/>
      <c r="AL6" s="213"/>
      <c r="AM6" s="213"/>
      <c r="AN6" s="215"/>
      <c r="AO6" s="213"/>
      <c r="AP6" s="213"/>
      <c r="AQ6" s="215"/>
      <c r="AR6" s="216"/>
      <c r="AS6" s="217"/>
      <c r="AT6" s="215"/>
      <c r="AU6" s="216"/>
      <c r="AV6" s="213"/>
      <c r="AW6" s="218"/>
      <c r="AX6" s="219"/>
      <c r="AY6" s="219"/>
      <c r="AZ6" s="220"/>
      <c r="BA6" s="221"/>
      <c r="BC6" s="222"/>
      <c r="BD6" s="223"/>
      <c r="BE6" s="224"/>
      <c r="BF6" s="224"/>
      <c r="BG6" s="224"/>
      <c r="BH6" s="224"/>
      <c r="BI6" s="224"/>
      <c r="BJ6" s="225"/>
      <c r="BK6" s="226"/>
    </row>
    <row r="7" spans="2:63" ht="13.2" hidden="1" customHeight="1" x14ac:dyDescent="0.25">
      <c r="B7" s="186"/>
      <c r="C7" s="187"/>
      <c r="D7" s="188"/>
      <c r="E7" s="198"/>
      <c r="F7" s="199"/>
      <c r="G7" s="200"/>
      <c r="H7" s="201"/>
      <c r="I7" s="202"/>
      <c r="J7" s="203"/>
      <c r="K7" s="204"/>
      <c r="L7" s="205"/>
      <c r="M7" s="204"/>
      <c r="N7" s="206"/>
      <c r="O7" s="207"/>
      <c r="P7" s="208"/>
      <c r="Q7" s="202"/>
      <c r="R7" s="203"/>
      <c r="S7" s="205"/>
      <c r="T7" s="209"/>
      <c r="U7" s="209"/>
      <c r="V7" s="206"/>
      <c r="W7" s="210"/>
      <c r="X7" s="228" t="s">
        <v>55</v>
      </c>
      <c r="Y7" s="211"/>
      <c r="Z7" s="185"/>
      <c r="AA7" s="212"/>
      <c r="AB7" s="206"/>
      <c r="AC7" s="213"/>
      <c r="AD7" s="202"/>
      <c r="AE7" s="213"/>
      <c r="AF7" s="213"/>
      <c r="AG7" s="214"/>
      <c r="AH7" s="206"/>
      <c r="AI7" s="213"/>
      <c r="AJ7" s="202"/>
      <c r="AK7" s="213"/>
      <c r="AL7" s="213"/>
      <c r="AM7" s="213"/>
      <c r="AN7" s="215"/>
      <c r="AO7" s="213"/>
      <c r="AP7" s="213"/>
      <c r="AQ7" s="215"/>
      <c r="AR7" s="216"/>
      <c r="AS7" s="217"/>
      <c r="AT7" s="215"/>
      <c r="AU7" s="216"/>
      <c r="AV7" s="213"/>
      <c r="AW7" s="218"/>
      <c r="AX7" s="219"/>
      <c r="AY7" s="219"/>
      <c r="AZ7" s="220"/>
      <c r="BA7" s="221"/>
      <c r="BC7" s="222"/>
      <c r="BD7" s="223"/>
      <c r="BE7" s="224"/>
      <c r="BF7" s="224"/>
      <c r="BG7" s="224"/>
      <c r="BH7" s="224"/>
      <c r="BI7" s="224"/>
      <c r="BJ7" s="225"/>
      <c r="BK7" s="226"/>
    </row>
    <row r="8" spans="2:63" ht="13.2" hidden="1" customHeight="1" thickBot="1" x14ac:dyDescent="0.3">
      <c r="B8" s="186"/>
      <c r="C8" s="187"/>
      <c r="D8" s="188"/>
      <c r="E8" s="198"/>
      <c r="F8" s="199"/>
      <c r="G8" s="200"/>
      <c r="H8" s="201"/>
      <c r="I8" s="202"/>
      <c r="J8" s="203"/>
      <c r="K8" s="204"/>
      <c r="L8" s="205"/>
      <c r="M8" s="204"/>
      <c r="N8" s="206"/>
      <c r="O8" s="207"/>
      <c r="P8" s="208"/>
      <c r="Q8" s="202"/>
      <c r="R8" s="203"/>
      <c r="S8" s="205"/>
      <c r="T8" s="209"/>
      <c r="U8" s="209"/>
      <c r="V8" s="206"/>
      <c r="W8" s="210"/>
      <c r="X8" s="228" t="s">
        <v>56</v>
      </c>
      <c r="Y8" s="211"/>
      <c r="Z8" s="185"/>
      <c r="AA8" s="212"/>
      <c r="AB8" s="206"/>
      <c r="AC8" s="213"/>
      <c r="AD8" s="202"/>
      <c r="AE8" s="213"/>
      <c r="AF8" s="213"/>
      <c r="AG8" s="214"/>
      <c r="AH8" s="206"/>
      <c r="AI8" s="213"/>
      <c r="AJ8" s="202"/>
      <c r="AK8" s="213"/>
      <c r="AL8" s="213"/>
      <c r="AM8" s="213"/>
      <c r="AN8" s="215"/>
      <c r="AO8" s="213"/>
      <c r="AP8" s="213"/>
      <c r="AQ8" s="215"/>
      <c r="AR8" s="216"/>
      <c r="AS8" s="217"/>
      <c r="AT8" s="215"/>
      <c r="AU8" s="216"/>
      <c r="AV8" s="213"/>
      <c r="AW8" s="218"/>
      <c r="AX8" s="219"/>
      <c r="AY8" s="219"/>
      <c r="AZ8" s="220"/>
      <c r="BA8" s="221"/>
      <c r="BC8" s="222"/>
      <c r="BD8" s="223"/>
      <c r="BE8" s="224"/>
      <c r="BF8" s="224"/>
      <c r="BG8" s="224"/>
      <c r="BH8" s="224"/>
      <c r="BI8" s="224"/>
      <c r="BJ8" s="225"/>
      <c r="BK8" s="226"/>
    </row>
    <row r="9" spans="2:63" x14ac:dyDescent="0.25">
      <c r="B9" s="39">
        <v>1</v>
      </c>
      <c r="C9" s="245" t="s">
        <v>64</v>
      </c>
      <c r="D9" s="40"/>
      <c r="E9" s="41"/>
      <c r="F9" s="190" t="s">
        <v>125</v>
      </c>
      <c r="G9" s="130">
        <v>0</v>
      </c>
      <c r="H9" s="44">
        <v>0</v>
      </c>
      <c r="I9" s="42">
        <v>0</v>
      </c>
      <c r="J9" s="121">
        <v>61.1</v>
      </c>
      <c r="K9" s="43">
        <v>5.19</v>
      </c>
      <c r="L9" s="110"/>
      <c r="M9" s="129"/>
      <c r="N9" s="195" t="s">
        <v>125</v>
      </c>
      <c r="O9" s="131" t="s">
        <v>126</v>
      </c>
      <c r="P9" s="134">
        <v>0</v>
      </c>
      <c r="Q9" s="45">
        <v>0</v>
      </c>
      <c r="R9" s="121">
        <v>65.5</v>
      </c>
      <c r="S9" s="110">
        <v>8.0500000000000007</v>
      </c>
      <c r="T9" s="135"/>
      <c r="U9" s="135"/>
      <c r="V9" s="195" t="s">
        <v>126</v>
      </c>
      <c r="W9" s="136" t="s">
        <v>126</v>
      </c>
      <c r="X9" s="142" t="s">
        <v>54</v>
      </c>
      <c r="Y9" s="230" t="s">
        <v>126</v>
      </c>
      <c r="Z9" s="151">
        <f>IF(ISBLANK(C9),"",ROW(C9)-8)</f>
        <v>1</v>
      </c>
      <c r="AA9" s="152">
        <f>IF(ISBLANK($C9),"",
IF(OR(LEFT($Y9)="y",LEFT($Y9)="t",$Y9=1), "DQ",
IF(AND(ISBLANK($K9), ISBLANK($L9), ISBLANK($M9), ISBLANK($J9), ISBLANK($S9), ISBLANK($T9), ISBLANK($U9), ISBLANK($R9),NOT(OR(LEFT($O9)="y",LEFT($O9)="t",$O9=1, LEFT($W9)="y",LEFT($W9)="t",$W9=1))),"NS",
IF(OR(AND(ISBLANK(K9), ISBLANK(L9), ISBLANK(M9)), ISBLANK(J9),LEFT(O9)="y",LEFT($O9)="t",$O9=1,LEFT(F9)="n",LEFT(F9)="f"),"P",
1
)
)
)
)</f>
        <v>1</v>
      </c>
      <c r="AB9" s="153">
        <f>IF(ISBLANK($C9),"",IF(ISNUMBER(AA9),ROUND(J9,1)*4,AA9))</f>
        <v>244.4</v>
      </c>
      <c r="AC9" s="154">
        <f>IF(ISBLANK($C9),"",IF(ISNUMBER(AA9),
2*ROUND(MEDIAN(K9:M9),2),AA9))</f>
        <v>10.38</v>
      </c>
      <c r="AD9" s="155">
        <f>IF(ISBLANK($C9),"",
    IF(ISNUMBER(AA9),
        MIN(3,(IF(ISBLANK($G9),0,$G9)+IF(ISBLANK(H9),0,H9)))*5000+
        IF(ISBLANK(I9),0,MIN(4,I9))*1000+
        IF(OR(LEFT($E9)="n",LEFT($E9)="f"),10000,0)+
IF($X9="Incomplete",250,IF($X9="Missing",500,0)),
    AA9)
)</f>
        <v>0</v>
      </c>
      <c r="AE9" s="154">
        <f>IF(ISBLANK($C9),"",IF(ISNUMBER(AA9),SUM(AB9:AD9)+IF(OR(LEFT(N9)="y",LEFT(N9)="t",N9=1),-25,0),AA9))</f>
        <v>229.78</v>
      </c>
      <c r="AF9" s="154" t="str">
        <f>IF(ISBLANK($C9),"",
IF(AND(ISNUMBER(AA9),ISNUMBER(AG9)), IF(AE9=AK9,"=",IF(AE9&gt;AK9,"-&gt;","&lt;-")),
IF(OR(AA9="DQ",AA9="NS"), IF(AA9="DQ","DQ","NS"),
IF(OR(AND(AA9="P",AG9="P"),AND(AA9="P",AG9="NS"),AND(AA9="NS",AG9="P")),"P",IF(AA9="P", "-&gt;","&lt;-"))
)
)
)</f>
        <v>&lt;-</v>
      </c>
      <c r="AG9" s="156">
        <f>IF(ISBLANK($C9),"",
IF(OR(LEFT($Y9)="y",LEFT($Y9)="t",$Y9=1), "DQ",
IF(AND(ISBLANK($K9), ISBLANK($L9), ISBLANK($M9), ISBLANK($J9), ISBLANK($S9), ISBLANK($T9), ISBLANK($U9), ISBLANK($R9),NOT(OR(LEFT($O9)="y",LEFT($O9)="t",$O9=1, LEFT($W9)="y",LEFT($W9)="t",$W9=1))),"NS",
IF(OR(AND(ISBLANK(S9), ISBLANK(T9), ISBLANK(U9)), ISBLANK(R9),LEFT(W9)="y",LEFT($W9)="t",$W9=1,LEFT(F9)="n",LEFT(F9)="f"),"P",
1
)
)
)
)</f>
        <v>1</v>
      </c>
      <c r="AH9" s="153">
        <f>IF(ISBLANK($C9),"",IF(ISNUMBER(AG9),ROUND(R9,1)*4,AG9))</f>
        <v>262</v>
      </c>
      <c r="AI9" s="154">
        <f>IF(ISBLANK($C9),"",IF(ISNUMBER(AG9),
2*ROUND(MEDIAN(S9:U9),2),AG9))</f>
        <v>16.100000000000001</v>
      </c>
      <c r="AJ9" s="155">
        <f>IF(ISBLANK($C9),"",
    IF(ISNUMBER(AG9),
        MIN(3,(IF(ISBLANK($G9),0,$G9)+IF(ISBLANK(P9),0,P9)))*5000+
        IF(ISBLANK(Q9),0,MIN(4,Q9))*1000+
        IF(OR(LEFT($E9)="n",LEFT($E9)="f"),10000,0)+
IF($X9="Incomplete",250,IF($X9="Missing",500,0)),
    AG9)
)</f>
        <v>0</v>
      </c>
      <c r="AK9" s="157">
        <f>IF(ISBLANK($C9),"",IF(ISNUMBER($AG9),SUM(AH9:AJ9)+IF(OR(LEFT(V9)="y",LEFT(V9)="t",V9=1),-25,0),AG9))</f>
        <v>278.10000000000002</v>
      </c>
      <c r="AL9" s="158">
        <f>IF(ISBLANK($C9),"",IF(OR(AF9="NS",AF9="P",AF9="DQ"),AF9,IF(AF9="&lt;-",AA9,AG9)))</f>
        <v>1</v>
      </c>
      <c r="AM9" s="158">
        <f>IF(ISBLANK($C9),"",IF(OR(AF9="NS",AF9="P",AF9="DQ"),AF9,IF(AF9="&lt;-",AE9,AK9)))</f>
        <v>229.78</v>
      </c>
      <c r="AN9" s="159">
        <f ca="1">IF(ISBLANK($C9),"",IF(ISNUMBER($AM9),RANK(AM9,OFFSET(AM$9,0,0,$Z$2),1),AM9))</f>
        <v>18</v>
      </c>
      <c r="AO9" s="157">
        <f ca="1">IF(ISBLANK($C9),"",IF(ISNUMBER($AN9),IF($AF9="=",MIN(AB9,AH9),IF($AF9="&lt;-",AB9,AH9)),$AN9))</f>
        <v>244.4</v>
      </c>
      <c r="AP9" s="234">
        <f ca="1">IF(ISBLANK($C9),"",IF(ISNUMBER($AN9),AN9+AO9/(MAX(AO$9:AO$108,1)*2),$AN9))</f>
        <v>18.075562700964632</v>
      </c>
      <c r="AQ9" s="157">
        <f ca="1">IF(ISBLANK($C9),"",IF(ISNUMBER($AN9),RANK(AP9,OFFSET(AP$9,0,0,$Z$2),1),$AN9))</f>
        <v>18</v>
      </c>
      <c r="AR9" s="160">
        <f ca="1">IF(ISBLANK($C9),"",IF(ISNUMBER($AN9),IF($AF9="=",MIN(AC9,AI9),IF($AF9="&lt;-",AC9,AI9)),$AN9))</f>
        <v>10.38</v>
      </c>
      <c r="AS9" s="234">
        <f ca="1">IF(ISBLANK($C9),"",IF(ISNUMBER($AN9),AQ9+AR9/(MAX(AR$9:AR$108,1)*2),$AN9))</f>
        <v>18.06828947368421</v>
      </c>
      <c r="AT9" s="235">
        <f ca="1">IF(ISBLANK($C9),"",IF(ISNUMBER($AN9),RANK(AS9,OFFSET(AS$9,0,0,$Z$2),1),$AN9))</f>
        <v>18</v>
      </c>
      <c r="AU9" s="157">
        <f ca="1">IF(ISBLANK($C9),"",IF(ISNUMBER($AN9),IF($AF9="=",MIN(AH9,AN9),IF($AF9="&lt;-",AH9,AN9)),$AN9))</f>
        <v>262</v>
      </c>
      <c r="AV9" s="159">
        <f ca="1">IF(ISBLANK($C9),"",IF(ISNUMBER($AN9),AT9+IF(ISNUMBER(AU9),AU9/ABS((MAX(MAX(AU$9:AU$108,1),-MIN(AU$9:AU$108,1)))*2),0.6),$AN9))</f>
        <v>18.066430020283974</v>
      </c>
      <c r="AW9" s="64">
        <f>IF(ROW(C9)-8&gt;$Z$2,"",  IF(ISBLANK($C9),"NS",IF(OR(ISNUMBER($AL9),ISNUMBER($AM9)),AM9,$AL9)))</f>
        <v>229.78</v>
      </c>
      <c r="AX9" s="65">
        <f>IF(ROW(C9)-8&gt;$Z$2,"",IF(ISBLANK($C9),"NS",AL9))</f>
        <v>1</v>
      </c>
      <c r="AY9" s="65">
        <f ca="1">IF(ROW(C9)-8&gt;$Z$2,"",IF(ISBLANK($C9),"NS",IF(ISNUMBER(AS9),AN9-AZ9,AS9)))</f>
        <v>0</v>
      </c>
      <c r="AZ9" s="66">
        <f ca="1">IF(ROW(C9)-8&gt;$Z$2,"",IF(ISBLANK($C9),"NS",IF(ISNUMBER(AV9),RANK(AV9,OFFSET($AV$9,0,0,$Z$2),1),AV9)))</f>
        <v>18</v>
      </c>
      <c r="BA9" s="67">
        <f ca="1">IF(ROW(C9)-8&gt;$Z$2,"",IF(ISNUMBER(AZ9),AZ9,IF(AZ9="P",$Z$2,IF(AZ9="NS",$Z$2+1,IF(AZ9="DQ",$Z$2+2)))))</f>
        <v>18</v>
      </c>
      <c r="BC9" s="85">
        <f ca="1">IF(ISNUMBER(AZ9),1,0)</f>
        <v>1</v>
      </c>
      <c r="BD9" s="86">
        <v>1</v>
      </c>
      <c r="BE9" s="30">
        <f ca="1">IF(ISBLANK($C9),"",BA9+ROW($B9)/1000)</f>
        <v>18.009</v>
      </c>
      <c r="BF9" s="32">
        <f ca="1">IF(ISBLANK($C9),"",RANK(BE9,OFFSET(BE$9,0,0,$Z$2),1))</f>
        <v>18</v>
      </c>
      <c r="BG9" s="31" t="str">
        <f>IF(ISBLANK($C9),"",$C9)</f>
        <v>Clarksville X</v>
      </c>
      <c r="BH9" s="33">
        <f ca="1">IF(ISBLANK($C9),"",BA9)</f>
        <v>18</v>
      </c>
      <c r="BI9" s="30">
        <f ca="1">AZ9</f>
        <v>18</v>
      </c>
      <c r="BJ9" s="97">
        <f ca="1">IF(BD9&gt;BC$4,"",VLOOKUP(BD9,OFFSET(BF$9,0,0,$Z$2,4),4,FALSE))</f>
        <v>1</v>
      </c>
      <c r="BK9" s="98" t="str">
        <f ca="1">IF(BD9&gt;BC$4,"",VLOOKUP(BD9,OFFSET(BF$9,0,0,$Z$2,4),2,FALSE))</f>
        <v>North Bethesda Y</v>
      </c>
    </row>
    <row r="10" spans="2:63" x14ac:dyDescent="0.25">
      <c r="B10" s="46">
        <v>2</v>
      </c>
      <c r="C10" s="246" t="s">
        <v>65</v>
      </c>
      <c r="D10" s="47"/>
      <c r="E10" s="120"/>
      <c r="F10" s="189"/>
      <c r="G10" s="131"/>
      <c r="H10" s="49"/>
      <c r="I10" s="42"/>
      <c r="J10" s="122"/>
      <c r="K10" s="48"/>
      <c r="L10" s="111"/>
      <c r="M10" s="126"/>
      <c r="N10" s="195"/>
      <c r="O10" s="130"/>
      <c r="P10" s="107"/>
      <c r="Q10" s="45"/>
      <c r="R10" s="122"/>
      <c r="S10" s="111"/>
      <c r="T10" s="114"/>
      <c r="U10" s="114"/>
      <c r="V10" s="195"/>
      <c r="W10" s="137"/>
      <c r="X10" s="143"/>
      <c r="Y10" s="147"/>
      <c r="Z10" s="161">
        <f t="shared" ref="Z10:Z73" si="0">IF(ISBLANK(C10),"",ROW(C10)-8)</f>
        <v>2</v>
      </c>
      <c r="AA10" s="162" t="str">
        <f t="shared" ref="AA10:AA73" si="1">IF(ISBLANK($C10),"",
IF(OR(LEFT($Y10)="y",LEFT($Y10)="t",$Y10=1), "DQ",
IF(AND(ISBLANK($K10), ISBLANK($L10), ISBLANK($M10), ISBLANK($J10), ISBLANK($S10), ISBLANK($T10), ISBLANK($U10), ISBLANK($R10),NOT(OR(LEFT($O10)="y",LEFT($O10)="t",$O10=1, LEFT($W10)="y",LEFT($W10)="t",$W10=1))),"NS",
IF(OR(AND(ISBLANK(K10), ISBLANK(L10), ISBLANK(M10)), ISBLANK(J10),LEFT(O10)="y",LEFT($O10)="t",$O10=1,LEFT(F10)="n",LEFT(F10)="f"),"P",
1
)
)
)
)</f>
        <v>NS</v>
      </c>
      <c r="AB10" s="163" t="str">
        <f t="shared" ref="AB10:AB73" si="2">IF(ISBLANK($C10),"",IF(ISNUMBER(AA10),ROUND(J10,1)*4,AA10))</f>
        <v>NS</v>
      </c>
      <c r="AC10" s="158" t="str">
        <f t="shared" ref="AC10:AC73" si="3">IF(ISBLANK($C10),"",IF(ISNUMBER(AA10),
2*ROUND(MEDIAN(K10:M10),2),AA10))</f>
        <v>NS</v>
      </c>
      <c r="AD10" s="159" t="str">
        <f t="shared" ref="AD10:AD73" si="4">IF(ISBLANK($C10),"",
    IF(ISNUMBER(AA10),
        MIN(3,(IF(ISBLANK($G10),0,$G10)+IF(ISBLANK(H10),0,H10)))*5000+
        IF(ISBLANK(I10),0,MIN(4,I10))*1000+
        IF(OR(LEFT($E10)="n",LEFT($E10)="f"),10000,0)+
IF($X10="Incomplete",250,IF($X10="Missing",500,0)),
    AA10)
)</f>
        <v>NS</v>
      </c>
      <c r="AE10" s="158" t="str">
        <f t="shared" ref="AE10:AE73" si="5">IF(ISBLANK($C10),"",IF(ISNUMBER(AA10),SUM(AB10:AD10)+IF(OR(LEFT(N10)="y",LEFT(N10)="t",N10=1),-25,0),AA10))</f>
        <v>NS</v>
      </c>
      <c r="AF10" s="158" t="str">
        <f t="shared" ref="AF10:AF73" si="6">IF(ISBLANK($C10),"",
IF(AND(ISNUMBER(AA10),ISNUMBER(AG10)), IF(AE10=AK10,"=",IF(AE10&gt;AK10,"-&gt;","&lt;-")),
IF(OR(AA10="DQ",AA10="NS"), IF(AA10="DQ","DQ","NS"),
IF(OR(AND(AA10="P",AG10="P"),AND(AA10="P",AG10="NS"),AND(AA10="NS",AG10="P")),"P",IF(AA10="P", "-&gt;","&lt;-"))
)
)
)</f>
        <v>NS</v>
      </c>
      <c r="AG10" s="164" t="str">
        <f t="shared" ref="AG10:AG73" si="7">IF(ISBLANK($C10),"",
IF(OR(LEFT($Y10)="y",LEFT($Y10)="t",$Y10=1), "DQ",
IF(AND(ISBLANK($K10), ISBLANK($L10), ISBLANK($M10), ISBLANK($J10), ISBLANK($S10), ISBLANK($T10), ISBLANK($U10), ISBLANK($R10),NOT(OR(LEFT($O10)="y",LEFT($O10)="t",$O10=1, LEFT($W10)="y",LEFT($W10)="t",$W10=1))),"NS",
IF(OR(AND(ISBLANK(S10), ISBLANK(T10), ISBLANK(U10)), ISBLANK(R10),LEFT(W10)="y",LEFT($W10)="t",$W10=1,LEFT(F10)="n",LEFT(F10)="f"),"P",
1
)
)
)
)</f>
        <v>NS</v>
      </c>
      <c r="AH10" s="163" t="str">
        <f t="shared" ref="AH10:AH73" si="8">IF(ISBLANK($C10),"",IF(ISNUMBER(AG10),ROUND(R10,1)*4,AG10))</f>
        <v>NS</v>
      </c>
      <c r="AI10" s="158" t="str">
        <f t="shared" ref="AI10:AI73" si="9">IF(ISBLANK($C10),"",IF(ISNUMBER(AG10),
2*ROUND(MEDIAN(S10:U10),2),AG10))</f>
        <v>NS</v>
      </c>
      <c r="AJ10" s="159" t="str">
        <f t="shared" ref="AJ10:AJ73" si="10">IF(ISBLANK($C10),"",
    IF(ISNUMBER(AG10),
        MIN(3,(IF(ISBLANK($G10),0,$G10)+IF(ISBLANK(P10),0,P10)))*5000+
        IF(ISBLANK(Q10),0,MIN(4,Q10))*1000+
        IF(OR(LEFT($E10)="n",LEFT($E10)="f"),10000,0)+
IF($X10="Incomplete",250,IF($X10="Missing",500,0)),
    AG10)
)</f>
        <v>NS</v>
      </c>
      <c r="AK10" s="158" t="str">
        <f t="shared" ref="AK10:AK73" si="11">IF(ISBLANK($C10),"",IF(ISNUMBER($AG10),SUM(AH10:AJ10)+IF(OR(LEFT(V10)="y",LEFT(V10)="t",V10=1),-25,0),AG10))</f>
        <v>NS</v>
      </c>
      <c r="AL10" s="158" t="str">
        <f t="shared" ref="AL10:AL73" si="12">IF(ISBLANK($C10),"",IF(OR(AF10="NS",AF10="P",AF10="DQ"),AF10,IF(AF10="&lt;-",AA10,AG10)))</f>
        <v>NS</v>
      </c>
      <c r="AM10" s="158" t="str">
        <f t="shared" ref="AM10:AM73" si="13">IF(ISBLANK($C10),"",IF(OR(AF10="NS",AF10="P",AF10="DQ"),AF10,IF(AF10="&lt;-",AE10,AK10)))</f>
        <v>NS</v>
      </c>
      <c r="AN10" s="159" t="str">
        <f t="shared" ref="AN10:AN73" ca="1" si="14">IF(ISBLANK($C10),"",IF(ISNUMBER($AM10),RANK(AM10,OFFSET(AM$9,0,0,$Z$2),1),AM10))</f>
        <v>NS</v>
      </c>
      <c r="AO10" s="158" t="str">
        <f t="shared" ref="AO10:AO73" ca="1" si="15">IF(ISBLANK($C10),"",IF(ISNUMBER($AN10),IF($AF10="=",MIN(AB10,AH10),IF($AF10="&lt;-",AB10,AH10)),$AN10))</f>
        <v>NS</v>
      </c>
      <c r="AP10" s="159" t="str">
        <f t="shared" ref="AP10:AP73" ca="1" si="16">IF(ISBLANK($C10),"",IF(ISNUMBER($AN10),AN10+AO10/(MAX(AO$9:AO$108,1)*2),$AN10))</f>
        <v>NS</v>
      </c>
      <c r="AQ10" s="158" t="str">
        <f t="shared" ref="AQ10:AQ73" ca="1" si="17">IF(ISBLANK($C10),"",IF(ISNUMBER($AN10),RANK(AP10,OFFSET(AP$9,0,0,$Z$2),1),$AN10))</f>
        <v>NS</v>
      </c>
      <c r="AR10" s="165" t="str">
        <f t="shared" ref="AR10:AR73" ca="1" si="18">IF(ISBLANK($C10),"",IF(ISNUMBER($AN10),IF($AF10="=",MIN(AC10,AI10),IF($AF10="&lt;-",AC10,AI10)),$AN10))</f>
        <v>NS</v>
      </c>
      <c r="AS10" s="236" t="str">
        <f t="shared" ref="AS10:AS73" ca="1" si="19">IF(ISBLANK($C10),"",IF(ISNUMBER($AN10),AQ10+AR10/(MAX(AR$9:AR$108,1)*2),$AN10))</f>
        <v>NS</v>
      </c>
      <c r="AT10" s="237" t="str">
        <f t="shared" ref="AT10:AT73" ca="1" si="20">IF(ISBLANK($C10),"",IF(ISNUMBER($AN10),RANK(AS10,OFFSET(AS$9,0,0,$Z$2),1),$AN10))</f>
        <v>NS</v>
      </c>
      <c r="AU10" s="165" t="str">
        <f t="shared" ref="AU10:AU73" ca="1" si="21">IF(ISBLANK($C10),"",IF(ISNUMBER($AN10),IF($AF10="=",MIN(AH10,AN10),IF($AF10="&lt;-",AH10,AN10)),$AN10))</f>
        <v>NS</v>
      </c>
      <c r="AV10" s="231" t="str">
        <f t="shared" ref="AV10:AV73" ca="1" si="22">IF(ISBLANK($C10),"",IF(ISNUMBER($AN10),AT10+IF(ISNUMBER(AU10),AU10/ABS((MAX(MAX(AU$9:AU$108,1),-MIN(AU$9:AU$108,1)))*2),0.6),$AN10))</f>
        <v>NS</v>
      </c>
      <c r="AW10" s="68" t="str">
        <f t="shared" ref="AW10:AW73" si="23">IF(ROW(C10)-8&gt;$Z$2,"",  IF(ISBLANK($C10),"NS",IF(OR(ISNUMBER($AL10),ISNUMBER($AM10)),AM10,$AL10)))</f>
        <v>NS</v>
      </c>
      <c r="AX10" s="69" t="str">
        <f t="shared" ref="AX10:AX73" si="24">IF(ROW(C10)-8&gt;$Z$2,"",IF(ISBLANK($C10),"NS",AL10))</f>
        <v>NS</v>
      </c>
      <c r="AY10" s="69" t="str">
        <f t="shared" ref="AY10:AY73" ca="1" si="25">IF(ROW(C10)-8&gt;$Z$2,"",IF(ISBLANK($C10),"NS",IF(ISNUMBER(AS10),AN10-AZ10,AS10)))</f>
        <v>NS</v>
      </c>
      <c r="AZ10" s="70" t="str">
        <f t="shared" ref="AZ10:AZ73" ca="1" si="26">IF(ROW(C10)-8&gt;$Z$2,"",IF(ISBLANK($C10),"NS",IF(ISNUMBER(AS10),RANK(AS10,OFFSET($AS$9,0,0,$Z$2),1),AS10)))</f>
        <v>NS</v>
      </c>
      <c r="BA10" s="71">
        <f t="shared" ref="BA10:BA73" ca="1" si="27">IF(ROW(C10)-8&gt;$Z$2,"",IF(ISNUMBER(AZ10),AZ10,IF(AZ10="P",$Z$2,IF(AZ10="NS",$Z$2+1,IF(AZ10="DQ",$Z$2+2)))))</f>
        <v>61</v>
      </c>
      <c r="BC10" s="87">
        <f t="shared" ref="BC10:BC73" ca="1" si="28">IF(ISNUMBER(AZ10),1,0)</f>
        <v>0</v>
      </c>
      <c r="BD10" s="88">
        <v>2</v>
      </c>
      <c r="BE10" s="31">
        <f t="shared" ref="BE10:BE73" ca="1" si="29">IF(ISBLANK($C10),"",BA10+ROW($B10)/1000)</f>
        <v>61.01</v>
      </c>
      <c r="BF10" s="32">
        <f t="shared" ref="BF10:BF73" ca="1" si="30">IF(ISBLANK($C10),"",RANK(BE10,OFFSET(BE$9,0,0,$Z$2),1))</f>
        <v>41</v>
      </c>
      <c r="BG10" s="31" t="str">
        <f t="shared" ref="BG10:BG73" si="31">IF(ISBLANK($C10),"",$C10)</f>
        <v>Clarksville Y</v>
      </c>
      <c r="BH10" s="33">
        <f t="shared" ref="BH10:BH73" ca="1" si="32">IF(ISBLANK($C10),"",BA10)</f>
        <v>61</v>
      </c>
      <c r="BI10" s="31" t="str">
        <f t="shared" ref="BI10:BI73" ca="1" si="33">AZ10</f>
        <v>NS</v>
      </c>
      <c r="BJ10" s="97">
        <f t="shared" ref="BJ10:BJ73" ca="1" si="34">IF(BD10&gt;BC$4,"",VLOOKUP(BD10,OFFSET(BF$9,0,0,$Z$2,4),4,FALSE))</f>
        <v>2</v>
      </c>
      <c r="BK10" s="98" t="str">
        <f t="shared" ref="BK10:BK73" ca="1" si="35">IF(BD10&gt;BC$4,"",VLOOKUP(BD10,OFFSET(BF$9,0,0,$Z$2,4),2,FALSE))</f>
        <v>Community X</v>
      </c>
    </row>
    <row r="11" spans="2:63" x14ac:dyDescent="0.25">
      <c r="B11" s="46">
        <v>3</v>
      </c>
      <c r="C11" s="246" t="s">
        <v>66</v>
      </c>
      <c r="D11" s="47"/>
      <c r="E11" s="38"/>
      <c r="F11" s="190" t="s">
        <v>125</v>
      </c>
      <c r="G11" s="131">
        <v>0</v>
      </c>
      <c r="H11" s="49">
        <v>0</v>
      </c>
      <c r="I11" s="45">
        <v>1</v>
      </c>
      <c r="J11" s="122">
        <v>432.1</v>
      </c>
      <c r="K11" s="48">
        <v>8.74</v>
      </c>
      <c r="L11" s="111"/>
      <c r="M11" s="126"/>
      <c r="N11" s="195" t="s">
        <v>126</v>
      </c>
      <c r="O11" s="131" t="s">
        <v>126</v>
      </c>
      <c r="P11" s="107">
        <v>0</v>
      </c>
      <c r="Q11" s="45">
        <v>1</v>
      </c>
      <c r="R11" s="122">
        <v>404.3</v>
      </c>
      <c r="S11" s="111">
        <v>8.9600000000000009</v>
      </c>
      <c r="T11" s="114">
        <v>9.35</v>
      </c>
      <c r="U11" s="114">
        <v>9.0500000000000007</v>
      </c>
      <c r="V11" s="195" t="s">
        <v>125</v>
      </c>
      <c r="W11" s="138" t="s">
        <v>126</v>
      </c>
      <c r="X11" s="144" t="s">
        <v>54</v>
      </c>
      <c r="Y11" s="147" t="s">
        <v>126</v>
      </c>
      <c r="Z11" s="161">
        <f t="shared" si="0"/>
        <v>3</v>
      </c>
      <c r="AA11" s="162">
        <f t="shared" si="1"/>
        <v>1</v>
      </c>
      <c r="AB11" s="163">
        <f t="shared" si="2"/>
        <v>1728.4</v>
      </c>
      <c r="AC11" s="158">
        <f t="shared" si="3"/>
        <v>17.48</v>
      </c>
      <c r="AD11" s="159">
        <f t="shared" si="4"/>
        <v>1000</v>
      </c>
      <c r="AE11" s="158">
        <f t="shared" si="5"/>
        <v>2745.88</v>
      </c>
      <c r="AF11" s="158" t="str">
        <f t="shared" si="6"/>
        <v>-&gt;</v>
      </c>
      <c r="AG11" s="164">
        <f t="shared" si="7"/>
        <v>1</v>
      </c>
      <c r="AH11" s="163">
        <f t="shared" si="8"/>
        <v>1617.2</v>
      </c>
      <c r="AI11" s="158">
        <f t="shared" si="9"/>
        <v>18.100000000000001</v>
      </c>
      <c r="AJ11" s="159">
        <f t="shared" si="10"/>
        <v>1000</v>
      </c>
      <c r="AK11" s="158">
        <f t="shared" si="11"/>
        <v>2610.3000000000002</v>
      </c>
      <c r="AL11" s="158">
        <f t="shared" si="12"/>
        <v>1</v>
      </c>
      <c r="AM11" s="158">
        <f t="shared" si="13"/>
        <v>2610.3000000000002</v>
      </c>
      <c r="AN11" s="159">
        <f t="shared" ca="1" si="14"/>
        <v>29</v>
      </c>
      <c r="AO11" s="158">
        <f t="shared" ca="1" si="15"/>
        <v>1617.2</v>
      </c>
      <c r="AP11" s="159">
        <f t="shared" ca="1" si="16"/>
        <v>29.5</v>
      </c>
      <c r="AQ11" s="158">
        <f t="shared" ca="1" si="17"/>
        <v>29</v>
      </c>
      <c r="AR11" s="165">
        <f t="shared" ca="1" si="18"/>
        <v>18.100000000000001</v>
      </c>
      <c r="AS11" s="236">
        <f t="shared" ca="1" si="19"/>
        <v>29.119078947368422</v>
      </c>
      <c r="AT11" s="237">
        <f t="shared" ca="1" si="20"/>
        <v>29</v>
      </c>
      <c r="AU11" s="165">
        <f t="shared" ca="1" si="21"/>
        <v>29</v>
      </c>
      <c r="AV11" s="231">
        <f t="shared" ca="1" si="22"/>
        <v>29.007352941176471</v>
      </c>
      <c r="AW11" s="68">
        <f t="shared" si="23"/>
        <v>2610.3000000000002</v>
      </c>
      <c r="AX11" s="69">
        <f t="shared" si="24"/>
        <v>1</v>
      </c>
      <c r="AY11" s="69">
        <f t="shared" ca="1" si="25"/>
        <v>0</v>
      </c>
      <c r="AZ11" s="70">
        <f t="shared" ca="1" si="26"/>
        <v>29</v>
      </c>
      <c r="BA11" s="71">
        <f t="shared" ca="1" si="27"/>
        <v>29</v>
      </c>
      <c r="BC11" s="87">
        <f t="shared" ca="1" si="28"/>
        <v>1</v>
      </c>
      <c r="BD11" s="88">
        <v>3</v>
      </c>
      <c r="BE11" s="31">
        <f t="shared" ca="1" si="29"/>
        <v>29.010999999999999</v>
      </c>
      <c r="BF11" s="32">
        <f t="shared" ca="1" si="30"/>
        <v>29</v>
      </c>
      <c r="BG11" s="31" t="str">
        <f t="shared" si="31"/>
        <v>C.P. Weber X</v>
      </c>
      <c r="BH11" s="33">
        <f t="shared" ca="1" si="32"/>
        <v>29</v>
      </c>
      <c r="BI11" s="31">
        <f t="shared" ca="1" si="33"/>
        <v>29</v>
      </c>
      <c r="BJ11" s="97">
        <f t="shared" ca="1" si="34"/>
        <v>3</v>
      </c>
      <c r="BK11" s="98" t="str">
        <f t="shared" ca="1" si="35"/>
        <v>Springhouse X</v>
      </c>
    </row>
    <row r="12" spans="2:63" x14ac:dyDescent="0.25">
      <c r="B12" s="51">
        <v>4</v>
      </c>
      <c r="C12" s="247" t="s">
        <v>67</v>
      </c>
      <c r="D12" s="53"/>
      <c r="E12" s="37"/>
      <c r="F12" s="191" t="s">
        <v>125</v>
      </c>
      <c r="G12" s="132">
        <v>0</v>
      </c>
      <c r="H12" s="56">
        <v>0</v>
      </c>
      <c r="I12" s="54">
        <v>0</v>
      </c>
      <c r="J12" s="123">
        <v>5.5</v>
      </c>
      <c r="K12" s="55">
        <v>3.3690000000000002</v>
      </c>
      <c r="L12" s="112"/>
      <c r="M12" s="127"/>
      <c r="N12" s="196" t="s">
        <v>125</v>
      </c>
      <c r="O12" s="132" t="s">
        <v>126</v>
      </c>
      <c r="P12" s="108">
        <v>0</v>
      </c>
      <c r="Q12" s="54">
        <v>0</v>
      </c>
      <c r="R12" s="123">
        <v>17.8</v>
      </c>
      <c r="S12" s="112">
        <v>3.36</v>
      </c>
      <c r="T12" s="115"/>
      <c r="U12" s="115"/>
      <c r="V12" s="196" t="s">
        <v>125</v>
      </c>
      <c r="W12" s="139" t="s">
        <v>126</v>
      </c>
      <c r="X12" s="145" t="s">
        <v>54</v>
      </c>
      <c r="Y12" s="148" t="s">
        <v>126</v>
      </c>
      <c r="Z12" s="166">
        <f t="shared" si="0"/>
        <v>4</v>
      </c>
      <c r="AA12" s="167">
        <f t="shared" si="1"/>
        <v>1</v>
      </c>
      <c r="AB12" s="168">
        <f t="shared" si="2"/>
        <v>22</v>
      </c>
      <c r="AC12" s="169">
        <f t="shared" si="3"/>
        <v>6.74</v>
      </c>
      <c r="AD12" s="170">
        <f t="shared" si="4"/>
        <v>0</v>
      </c>
      <c r="AE12" s="169">
        <f t="shared" si="5"/>
        <v>3.740000000000002</v>
      </c>
      <c r="AF12" s="169" t="str">
        <f t="shared" si="6"/>
        <v>&lt;-</v>
      </c>
      <c r="AG12" s="171">
        <f t="shared" si="7"/>
        <v>1</v>
      </c>
      <c r="AH12" s="168">
        <f t="shared" si="8"/>
        <v>71.2</v>
      </c>
      <c r="AI12" s="169">
        <f t="shared" si="9"/>
        <v>6.72</v>
      </c>
      <c r="AJ12" s="170">
        <f t="shared" si="10"/>
        <v>0</v>
      </c>
      <c r="AK12" s="169">
        <f t="shared" si="11"/>
        <v>52.92</v>
      </c>
      <c r="AL12" s="169">
        <f t="shared" si="12"/>
        <v>1</v>
      </c>
      <c r="AM12" s="169">
        <f t="shared" si="13"/>
        <v>3.740000000000002</v>
      </c>
      <c r="AN12" s="170">
        <f t="shared" ca="1" si="14"/>
        <v>4</v>
      </c>
      <c r="AO12" s="169">
        <f t="shared" ca="1" si="15"/>
        <v>22</v>
      </c>
      <c r="AP12" s="170">
        <f t="shared" ca="1" si="16"/>
        <v>4.0068018797922331</v>
      </c>
      <c r="AQ12" s="169">
        <f t="shared" ca="1" si="17"/>
        <v>4</v>
      </c>
      <c r="AR12" s="172">
        <f t="shared" ca="1" si="18"/>
        <v>6.74</v>
      </c>
      <c r="AS12" s="238">
        <f t="shared" ca="1" si="19"/>
        <v>4.0443421052631576</v>
      </c>
      <c r="AT12" s="239">
        <f t="shared" ca="1" si="20"/>
        <v>4</v>
      </c>
      <c r="AU12" s="172">
        <f t="shared" ca="1" si="21"/>
        <v>71.2</v>
      </c>
      <c r="AV12" s="232">
        <f t="shared" ca="1" si="22"/>
        <v>4.0180527383367144</v>
      </c>
      <c r="AW12" s="72">
        <f t="shared" si="23"/>
        <v>3.740000000000002</v>
      </c>
      <c r="AX12" s="73">
        <f t="shared" si="24"/>
        <v>1</v>
      </c>
      <c r="AY12" s="73">
        <f t="shared" ca="1" si="25"/>
        <v>0</v>
      </c>
      <c r="AZ12" s="74">
        <f t="shared" ca="1" si="26"/>
        <v>4</v>
      </c>
      <c r="BA12" s="75">
        <f t="shared" ca="1" si="27"/>
        <v>4</v>
      </c>
      <c r="BC12" s="89">
        <f t="shared" ca="1" si="28"/>
        <v>1</v>
      </c>
      <c r="BD12" s="90">
        <v>4</v>
      </c>
      <c r="BE12" s="27">
        <f t="shared" ca="1" si="29"/>
        <v>4.0119999999999996</v>
      </c>
      <c r="BF12" s="28">
        <f t="shared" ca="1" si="30"/>
        <v>4</v>
      </c>
      <c r="BG12" s="27" t="str">
        <f t="shared" si="31"/>
        <v>C.P. Weber Y</v>
      </c>
      <c r="BH12" s="29">
        <f t="shared" ca="1" si="32"/>
        <v>4</v>
      </c>
      <c r="BI12" s="27">
        <f t="shared" ca="1" si="33"/>
        <v>4</v>
      </c>
      <c r="BJ12" s="99">
        <f t="shared" ca="1" si="34"/>
        <v>4</v>
      </c>
      <c r="BK12" s="100" t="str">
        <f t="shared" ca="1" si="35"/>
        <v>C.P. Weber Y</v>
      </c>
    </row>
    <row r="13" spans="2:63" x14ac:dyDescent="0.25">
      <c r="B13" s="51">
        <v>5</v>
      </c>
      <c r="C13" s="247" t="s">
        <v>68</v>
      </c>
      <c r="D13" s="53"/>
      <c r="E13" s="37"/>
      <c r="F13" s="191"/>
      <c r="G13" s="132"/>
      <c r="H13" s="56"/>
      <c r="I13" s="54"/>
      <c r="J13" s="123"/>
      <c r="K13" s="55"/>
      <c r="L13" s="112"/>
      <c r="M13" s="127"/>
      <c r="N13" s="196"/>
      <c r="O13" s="132" t="s">
        <v>125</v>
      </c>
      <c r="P13" s="108"/>
      <c r="Q13" s="54"/>
      <c r="R13" s="123"/>
      <c r="S13" s="112"/>
      <c r="T13" s="115"/>
      <c r="U13" s="115"/>
      <c r="V13" s="196"/>
      <c r="W13" s="139" t="s">
        <v>125</v>
      </c>
      <c r="X13" s="145"/>
      <c r="Y13" s="148"/>
      <c r="Z13" s="166">
        <f t="shared" si="0"/>
        <v>5</v>
      </c>
      <c r="AA13" s="167" t="str">
        <f t="shared" si="1"/>
        <v>P</v>
      </c>
      <c r="AB13" s="168" t="str">
        <f t="shared" si="2"/>
        <v>P</v>
      </c>
      <c r="AC13" s="169" t="str">
        <f t="shared" si="3"/>
        <v>P</v>
      </c>
      <c r="AD13" s="170" t="str">
        <f t="shared" si="4"/>
        <v>P</v>
      </c>
      <c r="AE13" s="169" t="str">
        <f t="shared" si="5"/>
        <v>P</v>
      </c>
      <c r="AF13" s="169" t="str">
        <f t="shared" si="6"/>
        <v>P</v>
      </c>
      <c r="AG13" s="171" t="str">
        <f t="shared" si="7"/>
        <v>P</v>
      </c>
      <c r="AH13" s="168" t="str">
        <f t="shared" si="8"/>
        <v>P</v>
      </c>
      <c r="AI13" s="169" t="str">
        <f t="shared" si="9"/>
        <v>P</v>
      </c>
      <c r="AJ13" s="170" t="str">
        <f t="shared" si="10"/>
        <v>P</v>
      </c>
      <c r="AK13" s="169" t="str">
        <f t="shared" si="11"/>
        <v>P</v>
      </c>
      <c r="AL13" s="169" t="str">
        <f t="shared" si="12"/>
        <v>P</v>
      </c>
      <c r="AM13" s="169" t="str">
        <f t="shared" si="13"/>
        <v>P</v>
      </c>
      <c r="AN13" s="170" t="str">
        <f t="shared" ca="1" si="14"/>
        <v>P</v>
      </c>
      <c r="AO13" s="169" t="str">
        <f t="shared" ca="1" si="15"/>
        <v>P</v>
      </c>
      <c r="AP13" s="170" t="str">
        <f t="shared" ca="1" si="16"/>
        <v>P</v>
      </c>
      <c r="AQ13" s="169" t="str">
        <f t="shared" ca="1" si="17"/>
        <v>P</v>
      </c>
      <c r="AR13" s="172" t="str">
        <f t="shared" ca="1" si="18"/>
        <v>P</v>
      </c>
      <c r="AS13" s="238" t="str">
        <f t="shared" ca="1" si="19"/>
        <v>P</v>
      </c>
      <c r="AT13" s="239" t="str">
        <f t="shared" ca="1" si="20"/>
        <v>P</v>
      </c>
      <c r="AU13" s="172" t="str">
        <f t="shared" ca="1" si="21"/>
        <v>P</v>
      </c>
      <c r="AV13" s="232" t="str">
        <f t="shared" ca="1" si="22"/>
        <v>P</v>
      </c>
      <c r="AW13" s="72" t="str">
        <f t="shared" si="23"/>
        <v>P</v>
      </c>
      <c r="AX13" s="73" t="str">
        <f t="shared" si="24"/>
        <v>P</v>
      </c>
      <c r="AY13" s="73" t="str">
        <f t="shared" ca="1" si="25"/>
        <v>P</v>
      </c>
      <c r="AZ13" s="74" t="str">
        <f t="shared" ca="1" si="26"/>
        <v>P</v>
      </c>
      <c r="BA13" s="75">
        <f t="shared" ca="1" si="27"/>
        <v>60</v>
      </c>
      <c r="BC13" s="89">
        <f t="shared" ca="1" si="28"/>
        <v>0</v>
      </c>
      <c r="BD13" s="90">
        <v>5</v>
      </c>
      <c r="BE13" s="27">
        <f t="shared" ca="1" si="29"/>
        <v>60.012999999999998</v>
      </c>
      <c r="BF13" s="28">
        <f t="shared" ca="1" si="30"/>
        <v>30</v>
      </c>
      <c r="BG13" s="27" t="str">
        <f t="shared" si="31"/>
        <v>Bala Cynwyd X</v>
      </c>
      <c r="BH13" s="29">
        <f t="shared" ca="1" si="32"/>
        <v>60</v>
      </c>
      <c r="BI13" s="27" t="str">
        <f t="shared" ca="1" si="33"/>
        <v>P</v>
      </c>
      <c r="BJ13" s="99">
        <f t="shared" ca="1" si="34"/>
        <v>5</v>
      </c>
      <c r="BK13" s="100" t="str">
        <f t="shared" ca="1" si="35"/>
        <v>Stetson X</v>
      </c>
    </row>
    <row r="14" spans="2:63" x14ac:dyDescent="0.25">
      <c r="B14" s="51">
        <v>6</v>
      </c>
      <c r="C14" s="247" t="s">
        <v>69</v>
      </c>
      <c r="D14" s="53"/>
      <c r="E14" s="37"/>
      <c r="F14" s="191"/>
      <c r="G14" s="132"/>
      <c r="H14" s="56"/>
      <c r="I14" s="54"/>
      <c r="J14" s="123"/>
      <c r="K14" s="55"/>
      <c r="L14" s="112"/>
      <c r="M14" s="127"/>
      <c r="N14" s="196"/>
      <c r="O14" s="132"/>
      <c r="P14" s="108"/>
      <c r="Q14" s="54"/>
      <c r="R14" s="123"/>
      <c r="S14" s="112"/>
      <c r="T14" s="115"/>
      <c r="U14" s="115"/>
      <c r="V14" s="196"/>
      <c r="W14" s="139"/>
      <c r="X14" s="145"/>
      <c r="Y14" s="148"/>
      <c r="Z14" s="166">
        <f t="shared" si="0"/>
        <v>6</v>
      </c>
      <c r="AA14" s="167" t="str">
        <f t="shared" si="1"/>
        <v>NS</v>
      </c>
      <c r="AB14" s="168" t="str">
        <f t="shared" si="2"/>
        <v>NS</v>
      </c>
      <c r="AC14" s="169" t="str">
        <f t="shared" si="3"/>
        <v>NS</v>
      </c>
      <c r="AD14" s="170" t="str">
        <f t="shared" si="4"/>
        <v>NS</v>
      </c>
      <c r="AE14" s="169" t="str">
        <f t="shared" si="5"/>
        <v>NS</v>
      </c>
      <c r="AF14" s="169" t="str">
        <f t="shared" si="6"/>
        <v>NS</v>
      </c>
      <c r="AG14" s="171" t="str">
        <f t="shared" si="7"/>
        <v>NS</v>
      </c>
      <c r="AH14" s="168" t="str">
        <f t="shared" si="8"/>
        <v>NS</v>
      </c>
      <c r="AI14" s="169" t="str">
        <f t="shared" si="9"/>
        <v>NS</v>
      </c>
      <c r="AJ14" s="170" t="str">
        <f t="shared" si="10"/>
        <v>NS</v>
      </c>
      <c r="AK14" s="169" t="str">
        <f t="shared" si="11"/>
        <v>NS</v>
      </c>
      <c r="AL14" s="169" t="str">
        <f t="shared" si="12"/>
        <v>NS</v>
      </c>
      <c r="AM14" s="169" t="str">
        <f t="shared" si="13"/>
        <v>NS</v>
      </c>
      <c r="AN14" s="170" t="str">
        <f t="shared" ca="1" si="14"/>
        <v>NS</v>
      </c>
      <c r="AO14" s="169" t="str">
        <f t="shared" ca="1" si="15"/>
        <v>NS</v>
      </c>
      <c r="AP14" s="170" t="str">
        <f t="shared" ca="1" si="16"/>
        <v>NS</v>
      </c>
      <c r="AQ14" s="169" t="str">
        <f t="shared" ca="1" si="17"/>
        <v>NS</v>
      </c>
      <c r="AR14" s="172" t="str">
        <f t="shared" ca="1" si="18"/>
        <v>NS</v>
      </c>
      <c r="AS14" s="238" t="str">
        <f t="shared" ca="1" si="19"/>
        <v>NS</v>
      </c>
      <c r="AT14" s="239" t="str">
        <f t="shared" ca="1" si="20"/>
        <v>NS</v>
      </c>
      <c r="AU14" s="172" t="str">
        <f t="shared" ca="1" si="21"/>
        <v>NS</v>
      </c>
      <c r="AV14" s="232" t="str">
        <f t="shared" ca="1" si="22"/>
        <v>NS</v>
      </c>
      <c r="AW14" s="72" t="str">
        <f t="shared" si="23"/>
        <v>NS</v>
      </c>
      <c r="AX14" s="73" t="str">
        <f t="shared" si="24"/>
        <v>NS</v>
      </c>
      <c r="AY14" s="73" t="str">
        <f t="shared" ca="1" si="25"/>
        <v>NS</v>
      </c>
      <c r="AZ14" s="74" t="str">
        <f t="shared" ca="1" si="26"/>
        <v>NS</v>
      </c>
      <c r="BA14" s="75">
        <f t="shared" ca="1" si="27"/>
        <v>61</v>
      </c>
      <c r="BC14" s="89">
        <f t="shared" ca="1" si="28"/>
        <v>0</v>
      </c>
      <c r="BD14" s="90">
        <v>6</v>
      </c>
      <c r="BE14" s="27">
        <f t="shared" ca="1" si="29"/>
        <v>61.014000000000003</v>
      </c>
      <c r="BF14" s="28">
        <f t="shared" ca="1" si="30"/>
        <v>42</v>
      </c>
      <c r="BG14" s="27" t="str">
        <f t="shared" si="31"/>
        <v>Bala Cynwyd Y</v>
      </c>
      <c r="BH14" s="29">
        <f t="shared" ca="1" si="32"/>
        <v>61</v>
      </c>
      <c r="BI14" s="27" t="str">
        <f t="shared" ca="1" si="33"/>
        <v>NS</v>
      </c>
      <c r="BJ14" s="99">
        <f t="shared" ca="1" si="34"/>
        <v>6</v>
      </c>
      <c r="BK14" s="100" t="str">
        <f t="shared" ca="1" si="35"/>
        <v>Community Y</v>
      </c>
    </row>
    <row r="15" spans="2:63" x14ac:dyDescent="0.25">
      <c r="B15" s="46">
        <v>7</v>
      </c>
      <c r="C15" s="246" t="s">
        <v>70</v>
      </c>
      <c r="D15" s="47"/>
      <c r="E15" s="38"/>
      <c r="F15" s="190" t="s">
        <v>125</v>
      </c>
      <c r="G15" s="131">
        <v>0</v>
      </c>
      <c r="H15" s="49">
        <v>0</v>
      </c>
      <c r="I15" s="45">
        <v>0</v>
      </c>
      <c r="J15" s="122">
        <v>59.2</v>
      </c>
      <c r="K15" s="48">
        <v>5.2510000000000003</v>
      </c>
      <c r="L15" s="111"/>
      <c r="M15" s="126"/>
      <c r="N15" s="195" t="s">
        <v>126</v>
      </c>
      <c r="O15" s="131" t="s">
        <v>126</v>
      </c>
      <c r="P15" s="107">
        <v>0</v>
      </c>
      <c r="Q15" s="45">
        <v>0</v>
      </c>
      <c r="R15" s="122">
        <v>37.4</v>
      </c>
      <c r="S15" s="111">
        <v>5.2759999999999998</v>
      </c>
      <c r="T15" s="114"/>
      <c r="U15" s="114"/>
      <c r="V15" s="195" t="s">
        <v>126</v>
      </c>
      <c r="W15" s="138" t="s">
        <v>126</v>
      </c>
      <c r="X15" s="144" t="s">
        <v>54</v>
      </c>
      <c r="Y15" s="147" t="s">
        <v>126</v>
      </c>
      <c r="Z15" s="161">
        <f t="shared" si="0"/>
        <v>7</v>
      </c>
      <c r="AA15" s="162">
        <f t="shared" si="1"/>
        <v>1</v>
      </c>
      <c r="AB15" s="163">
        <f t="shared" si="2"/>
        <v>236.8</v>
      </c>
      <c r="AC15" s="158">
        <f t="shared" si="3"/>
        <v>10.5</v>
      </c>
      <c r="AD15" s="159">
        <f t="shared" si="4"/>
        <v>0</v>
      </c>
      <c r="AE15" s="158">
        <f t="shared" si="5"/>
        <v>247.3</v>
      </c>
      <c r="AF15" s="158" t="str">
        <f t="shared" si="6"/>
        <v>-&gt;</v>
      </c>
      <c r="AG15" s="164">
        <f t="shared" si="7"/>
        <v>1</v>
      </c>
      <c r="AH15" s="163">
        <f t="shared" si="8"/>
        <v>149.6</v>
      </c>
      <c r="AI15" s="158">
        <f t="shared" si="9"/>
        <v>10.56</v>
      </c>
      <c r="AJ15" s="159">
        <f t="shared" si="10"/>
        <v>0</v>
      </c>
      <c r="AK15" s="158">
        <f t="shared" si="11"/>
        <v>160.16</v>
      </c>
      <c r="AL15" s="158">
        <f t="shared" si="12"/>
        <v>1</v>
      </c>
      <c r="AM15" s="158">
        <f t="shared" si="13"/>
        <v>160.16</v>
      </c>
      <c r="AN15" s="159">
        <f t="shared" ca="1" si="14"/>
        <v>15</v>
      </c>
      <c r="AO15" s="158">
        <f t="shared" ca="1" si="15"/>
        <v>149.6</v>
      </c>
      <c r="AP15" s="159">
        <f t="shared" ca="1" si="16"/>
        <v>15.046252782587187</v>
      </c>
      <c r="AQ15" s="158">
        <f t="shared" ca="1" si="17"/>
        <v>15</v>
      </c>
      <c r="AR15" s="165">
        <f t="shared" ca="1" si="18"/>
        <v>10.56</v>
      </c>
      <c r="AS15" s="236">
        <f t="shared" ca="1" si="19"/>
        <v>15.069473684210527</v>
      </c>
      <c r="AT15" s="237">
        <f t="shared" ca="1" si="20"/>
        <v>15</v>
      </c>
      <c r="AU15" s="165">
        <f t="shared" ca="1" si="21"/>
        <v>15</v>
      </c>
      <c r="AV15" s="231">
        <f t="shared" ca="1" si="22"/>
        <v>15.003803245436105</v>
      </c>
      <c r="AW15" s="68">
        <f t="shared" si="23"/>
        <v>160.16</v>
      </c>
      <c r="AX15" s="69">
        <f t="shared" si="24"/>
        <v>1</v>
      </c>
      <c r="AY15" s="69">
        <f t="shared" ca="1" si="25"/>
        <v>0</v>
      </c>
      <c r="AZ15" s="70">
        <f t="shared" ca="1" si="26"/>
        <v>15</v>
      </c>
      <c r="BA15" s="71">
        <f t="shared" ca="1" si="27"/>
        <v>15</v>
      </c>
      <c r="BC15" s="87">
        <f t="shared" ca="1" si="28"/>
        <v>1</v>
      </c>
      <c r="BD15" s="88">
        <v>7</v>
      </c>
      <c r="BE15" s="31">
        <f t="shared" ca="1" si="29"/>
        <v>15.015000000000001</v>
      </c>
      <c r="BF15" s="32">
        <f t="shared" ca="1" si="30"/>
        <v>15</v>
      </c>
      <c r="BG15" s="31" t="str">
        <f t="shared" si="31"/>
        <v>Rocky Run X</v>
      </c>
      <c r="BH15" s="33">
        <f t="shared" ca="1" si="32"/>
        <v>15</v>
      </c>
      <c r="BI15" s="31">
        <f t="shared" ca="1" si="33"/>
        <v>15</v>
      </c>
      <c r="BJ15" s="97">
        <f t="shared" ca="1" si="34"/>
        <v>7</v>
      </c>
      <c r="BK15" s="98" t="str">
        <f t="shared" ca="1" si="35"/>
        <v>Rocky Run Y</v>
      </c>
    </row>
    <row r="16" spans="2:63" x14ac:dyDescent="0.25">
      <c r="B16" s="46">
        <v>8</v>
      </c>
      <c r="C16" s="246" t="s">
        <v>71</v>
      </c>
      <c r="D16" s="47"/>
      <c r="E16" s="38"/>
      <c r="F16" s="190" t="s">
        <v>125</v>
      </c>
      <c r="G16" s="131">
        <v>0</v>
      </c>
      <c r="H16" s="49">
        <v>0</v>
      </c>
      <c r="I16" s="45">
        <v>0</v>
      </c>
      <c r="J16" s="122">
        <v>12.3</v>
      </c>
      <c r="K16" s="48">
        <v>4.8849999999999998</v>
      </c>
      <c r="L16" s="111"/>
      <c r="M16" s="126"/>
      <c r="N16" s="195" t="s">
        <v>125</v>
      </c>
      <c r="O16" s="131" t="s">
        <v>126</v>
      </c>
      <c r="P16" s="107">
        <v>0</v>
      </c>
      <c r="Q16" s="45">
        <v>0</v>
      </c>
      <c r="R16" s="122">
        <v>95.2</v>
      </c>
      <c r="S16" s="111">
        <v>5.2409999999999997</v>
      </c>
      <c r="T16" s="114"/>
      <c r="U16" s="114"/>
      <c r="V16" s="195" t="s">
        <v>126</v>
      </c>
      <c r="W16" s="138" t="s">
        <v>126</v>
      </c>
      <c r="X16" s="144" t="s">
        <v>54</v>
      </c>
      <c r="Y16" s="147" t="s">
        <v>126</v>
      </c>
      <c r="Z16" s="161">
        <f t="shared" si="0"/>
        <v>8</v>
      </c>
      <c r="AA16" s="162">
        <f t="shared" si="1"/>
        <v>1</v>
      </c>
      <c r="AB16" s="163">
        <f t="shared" si="2"/>
        <v>49.2</v>
      </c>
      <c r="AC16" s="158">
        <f t="shared" si="3"/>
        <v>9.7799999999999994</v>
      </c>
      <c r="AD16" s="159">
        <f t="shared" si="4"/>
        <v>0</v>
      </c>
      <c r="AE16" s="158">
        <f t="shared" si="5"/>
        <v>33.980000000000004</v>
      </c>
      <c r="AF16" s="158" t="str">
        <f t="shared" si="6"/>
        <v>&lt;-</v>
      </c>
      <c r="AG16" s="164">
        <f t="shared" si="7"/>
        <v>1</v>
      </c>
      <c r="AH16" s="163">
        <f t="shared" si="8"/>
        <v>380.8</v>
      </c>
      <c r="AI16" s="158">
        <f t="shared" si="9"/>
        <v>10.48</v>
      </c>
      <c r="AJ16" s="159">
        <f t="shared" si="10"/>
        <v>0</v>
      </c>
      <c r="AK16" s="158">
        <f t="shared" si="11"/>
        <v>391.28000000000003</v>
      </c>
      <c r="AL16" s="158">
        <f t="shared" si="12"/>
        <v>1</v>
      </c>
      <c r="AM16" s="158">
        <f t="shared" si="13"/>
        <v>33.980000000000004</v>
      </c>
      <c r="AN16" s="159">
        <f t="shared" ca="1" si="14"/>
        <v>7</v>
      </c>
      <c r="AO16" s="158">
        <f t="shared" ca="1" si="15"/>
        <v>49.2</v>
      </c>
      <c r="AP16" s="159">
        <f t="shared" ca="1" si="16"/>
        <v>7.0152114766262672</v>
      </c>
      <c r="AQ16" s="158">
        <f t="shared" ca="1" si="17"/>
        <v>7</v>
      </c>
      <c r="AR16" s="165">
        <f t="shared" ca="1" si="18"/>
        <v>9.7799999999999994</v>
      </c>
      <c r="AS16" s="236">
        <f t="shared" ca="1" si="19"/>
        <v>7.0643421052631581</v>
      </c>
      <c r="AT16" s="237">
        <f t="shared" ca="1" si="20"/>
        <v>7</v>
      </c>
      <c r="AU16" s="165">
        <f t="shared" ca="1" si="21"/>
        <v>380.8</v>
      </c>
      <c r="AV16" s="231">
        <f t="shared" ca="1" si="22"/>
        <v>7.0965517241379308</v>
      </c>
      <c r="AW16" s="68">
        <f t="shared" si="23"/>
        <v>33.980000000000004</v>
      </c>
      <c r="AX16" s="69">
        <f t="shared" si="24"/>
        <v>1</v>
      </c>
      <c r="AY16" s="69">
        <f t="shared" ca="1" si="25"/>
        <v>0</v>
      </c>
      <c r="AZ16" s="70">
        <f t="shared" ca="1" si="26"/>
        <v>7</v>
      </c>
      <c r="BA16" s="71">
        <f t="shared" ca="1" si="27"/>
        <v>7</v>
      </c>
      <c r="BC16" s="87">
        <f t="shared" ca="1" si="28"/>
        <v>1</v>
      </c>
      <c r="BD16" s="88">
        <v>8</v>
      </c>
      <c r="BE16" s="31">
        <f t="shared" ca="1" si="29"/>
        <v>7.016</v>
      </c>
      <c r="BF16" s="32">
        <f t="shared" ca="1" si="30"/>
        <v>7</v>
      </c>
      <c r="BG16" s="31" t="str">
        <f t="shared" si="31"/>
        <v>Rocky Run Y</v>
      </c>
      <c r="BH16" s="33">
        <f t="shared" ca="1" si="32"/>
        <v>7</v>
      </c>
      <c r="BI16" s="31">
        <f t="shared" ca="1" si="33"/>
        <v>7</v>
      </c>
      <c r="BJ16" s="97">
        <f t="shared" ca="1" si="34"/>
        <v>8</v>
      </c>
      <c r="BK16" s="98" t="str">
        <f t="shared" ca="1" si="35"/>
        <v>C.J. Hooker Y</v>
      </c>
    </row>
    <row r="17" spans="2:63" x14ac:dyDescent="0.25">
      <c r="B17" s="46">
        <v>9</v>
      </c>
      <c r="C17" s="246" t="s">
        <v>72</v>
      </c>
      <c r="D17" s="47"/>
      <c r="E17" s="38"/>
      <c r="F17" s="190"/>
      <c r="G17" s="131"/>
      <c r="H17" s="49"/>
      <c r="I17" s="45"/>
      <c r="J17" s="122"/>
      <c r="K17" s="48"/>
      <c r="L17" s="111"/>
      <c r="M17" s="126"/>
      <c r="N17" s="195"/>
      <c r="O17" s="131"/>
      <c r="P17" s="107"/>
      <c r="Q17" s="45"/>
      <c r="R17" s="122"/>
      <c r="S17" s="111"/>
      <c r="T17" s="114"/>
      <c r="U17" s="114"/>
      <c r="V17" s="195"/>
      <c r="W17" s="138"/>
      <c r="X17" s="144"/>
      <c r="Y17" s="147"/>
      <c r="Z17" s="161">
        <f t="shared" si="0"/>
        <v>9</v>
      </c>
      <c r="AA17" s="162" t="str">
        <f t="shared" si="1"/>
        <v>NS</v>
      </c>
      <c r="AB17" s="163" t="str">
        <f t="shared" si="2"/>
        <v>NS</v>
      </c>
      <c r="AC17" s="158" t="str">
        <f t="shared" si="3"/>
        <v>NS</v>
      </c>
      <c r="AD17" s="159" t="str">
        <f t="shared" si="4"/>
        <v>NS</v>
      </c>
      <c r="AE17" s="158" t="str">
        <f t="shared" si="5"/>
        <v>NS</v>
      </c>
      <c r="AF17" s="158" t="str">
        <f t="shared" si="6"/>
        <v>NS</v>
      </c>
      <c r="AG17" s="164" t="str">
        <f t="shared" si="7"/>
        <v>NS</v>
      </c>
      <c r="AH17" s="163" t="str">
        <f t="shared" si="8"/>
        <v>NS</v>
      </c>
      <c r="AI17" s="158" t="str">
        <f t="shared" si="9"/>
        <v>NS</v>
      </c>
      <c r="AJ17" s="159" t="str">
        <f t="shared" si="10"/>
        <v>NS</v>
      </c>
      <c r="AK17" s="158" t="str">
        <f t="shared" si="11"/>
        <v>NS</v>
      </c>
      <c r="AL17" s="158" t="str">
        <f t="shared" si="12"/>
        <v>NS</v>
      </c>
      <c r="AM17" s="158" t="str">
        <f t="shared" si="13"/>
        <v>NS</v>
      </c>
      <c r="AN17" s="159" t="str">
        <f t="shared" ca="1" si="14"/>
        <v>NS</v>
      </c>
      <c r="AO17" s="158" t="str">
        <f t="shared" ca="1" si="15"/>
        <v>NS</v>
      </c>
      <c r="AP17" s="159" t="str">
        <f t="shared" ca="1" si="16"/>
        <v>NS</v>
      </c>
      <c r="AQ17" s="158" t="str">
        <f t="shared" ca="1" si="17"/>
        <v>NS</v>
      </c>
      <c r="AR17" s="165" t="str">
        <f t="shared" ca="1" si="18"/>
        <v>NS</v>
      </c>
      <c r="AS17" s="236" t="str">
        <f t="shared" ca="1" si="19"/>
        <v>NS</v>
      </c>
      <c r="AT17" s="237" t="str">
        <f t="shared" ca="1" si="20"/>
        <v>NS</v>
      </c>
      <c r="AU17" s="165" t="str">
        <f t="shared" ca="1" si="21"/>
        <v>NS</v>
      </c>
      <c r="AV17" s="231" t="str">
        <f t="shared" ca="1" si="22"/>
        <v>NS</v>
      </c>
      <c r="AW17" s="68" t="str">
        <f t="shared" si="23"/>
        <v>NS</v>
      </c>
      <c r="AX17" s="69" t="str">
        <f t="shared" si="24"/>
        <v>NS</v>
      </c>
      <c r="AY17" s="69" t="str">
        <f t="shared" ca="1" si="25"/>
        <v>NS</v>
      </c>
      <c r="AZ17" s="70" t="str">
        <f t="shared" ca="1" si="26"/>
        <v>NS</v>
      </c>
      <c r="BA17" s="71">
        <f t="shared" ca="1" si="27"/>
        <v>61</v>
      </c>
      <c r="BC17" s="87">
        <f t="shared" ca="1" si="28"/>
        <v>0</v>
      </c>
      <c r="BD17" s="88">
        <v>9</v>
      </c>
      <c r="BE17" s="31">
        <f t="shared" ca="1" si="29"/>
        <v>61.017000000000003</v>
      </c>
      <c r="BF17" s="32">
        <f t="shared" ca="1" si="30"/>
        <v>43</v>
      </c>
      <c r="BG17" s="31" t="str">
        <f t="shared" si="31"/>
        <v>Whitehall Coplay X</v>
      </c>
      <c r="BH17" s="33">
        <f t="shared" ca="1" si="32"/>
        <v>61</v>
      </c>
      <c r="BI17" s="31" t="str">
        <f t="shared" ca="1" si="33"/>
        <v>NS</v>
      </c>
      <c r="BJ17" s="97">
        <f t="shared" ca="1" si="34"/>
        <v>9</v>
      </c>
      <c r="BK17" s="98" t="str">
        <f t="shared" ca="1" si="35"/>
        <v>Louise Archer</v>
      </c>
    </row>
    <row r="18" spans="2:63" x14ac:dyDescent="0.25">
      <c r="B18" s="51">
        <v>10</v>
      </c>
      <c r="C18" s="247" t="s">
        <v>73</v>
      </c>
      <c r="D18" s="53"/>
      <c r="E18" s="37"/>
      <c r="F18" s="191"/>
      <c r="G18" s="132"/>
      <c r="H18" s="56"/>
      <c r="I18" s="54"/>
      <c r="J18" s="123"/>
      <c r="K18" s="55"/>
      <c r="L18" s="112"/>
      <c r="M18" s="127"/>
      <c r="N18" s="196"/>
      <c r="O18" s="132"/>
      <c r="P18" s="108"/>
      <c r="Q18" s="54"/>
      <c r="R18" s="123"/>
      <c r="S18" s="112"/>
      <c r="T18" s="115"/>
      <c r="U18" s="115"/>
      <c r="V18" s="196"/>
      <c r="W18" s="139"/>
      <c r="X18" s="145"/>
      <c r="Y18" s="148"/>
      <c r="Z18" s="166">
        <f t="shared" si="0"/>
        <v>10</v>
      </c>
      <c r="AA18" s="167" t="str">
        <f t="shared" si="1"/>
        <v>NS</v>
      </c>
      <c r="AB18" s="168" t="str">
        <f t="shared" si="2"/>
        <v>NS</v>
      </c>
      <c r="AC18" s="169" t="str">
        <f t="shared" si="3"/>
        <v>NS</v>
      </c>
      <c r="AD18" s="170" t="str">
        <f t="shared" si="4"/>
        <v>NS</v>
      </c>
      <c r="AE18" s="169" t="str">
        <f t="shared" si="5"/>
        <v>NS</v>
      </c>
      <c r="AF18" s="169" t="str">
        <f t="shared" si="6"/>
        <v>NS</v>
      </c>
      <c r="AG18" s="171" t="str">
        <f t="shared" si="7"/>
        <v>NS</v>
      </c>
      <c r="AH18" s="168" t="str">
        <f t="shared" si="8"/>
        <v>NS</v>
      </c>
      <c r="AI18" s="169" t="str">
        <f t="shared" si="9"/>
        <v>NS</v>
      </c>
      <c r="AJ18" s="170" t="str">
        <f t="shared" si="10"/>
        <v>NS</v>
      </c>
      <c r="AK18" s="169" t="str">
        <f t="shared" si="11"/>
        <v>NS</v>
      </c>
      <c r="AL18" s="169" t="str">
        <f t="shared" si="12"/>
        <v>NS</v>
      </c>
      <c r="AM18" s="169" t="str">
        <f t="shared" si="13"/>
        <v>NS</v>
      </c>
      <c r="AN18" s="170" t="str">
        <f t="shared" ca="1" si="14"/>
        <v>NS</v>
      </c>
      <c r="AO18" s="169" t="str">
        <f t="shared" ca="1" si="15"/>
        <v>NS</v>
      </c>
      <c r="AP18" s="170" t="str">
        <f t="shared" ca="1" si="16"/>
        <v>NS</v>
      </c>
      <c r="AQ18" s="169" t="str">
        <f t="shared" ca="1" si="17"/>
        <v>NS</v>
      </c>
      <c r="AR18" s="172" t="str">
        <f t="shared" ca="1" si="18"/>
        <v>NS</v>
      </c>
      <c r="AS18" s="238" t="str">
        <f t="shared" ca="1" si="19"/>
        <v>NS</v>
      </c>
      <c r="AT18" s="239" t="str">
        <f t="shared" ca="1" si="20"/>
        <v>NS</v>
      </c>
      <c r="AU18" s="172" t="str">
        <f t="shared" ca="1" si="21"/>
        <v>NS</v>
      </c>
      <c r="AV18" s="232" t="str">
        <f t="shared" ca="1" si="22"/>
        <v>NS</v>
      </c>
      <c r="AW18" s="72" t="str">
        <f t="shared" si="23"/>
        <v>NS</v>
      </c>
      <c r="AX18" s="73" t="str">
        <f t="shared" si="24"/>
        <v>NS</v>
      </c>
      <c r="AY18" s="73" t="str">
        <f t="shared" ca="1" si="25"/>
        <v>NS</v>
      </c>
      <c r="AZ18" s="74" t="str">
        <f t="shared" ca="1" si="26"/>
        <v>NS</v>
      </c>
      <c r="BA18" s="75">
        <f t="shared" ca="1" si="27"/>
        <v>61</v>
      </c>
      <c r="BC18" s="89">
        <f t="shared" ca="1" si="28"/>
        <v>0</v>
      </c>
      <c r="BD18" s="90">
        <v>10</v>
      </c>
      <c r="BE18" s="27">
        <f t="shared" ca="1" si="29"/>
        <v>61.018000000000001</v>
      </c>
      <c r="BF18" s="28">
        <f t="shared" ca="1" si="30"/>
        <v>44</v>
      </c>
      <c r="BG18" s="27" t="str">
        <f t="shared" si="31"/>
        <v>Whitehall Coplay Y</v>
      </c>
      <c r="BH18" s="29">
        <f t="shared" ca="1" si="32"/>
        <v>61</v>
      </c>
      <c r="BI18" s="27" t="str">
        <f t="shared" ca="1" si="33"/>
        <v>NS</v>
      </c>
      <c r="BJ18" s="99">
        <f t="shared" ca="1" si="34"/>
        <v>10</v>
      </c>
      <c r="BK18" s="100" t="str">
        <f t="shared" ca="1" si="35"/>
        <v>Seton Catholic X</v>
      </c>
    </row>
    <row r="19" spans="2:63" x14ac:dyDescent="0.25">
      <c r="B19" s="51">
        <v>11</v>
      </c>
      <c r="C19" s="247" t="s">
        <v>74</v>
      </c>
      <c r="D19" s="53"/>
      <c r="E19" s="37"/>
      <c r="F19" s="191"/>
      <c r="G19" s="132"/>
      <c r="H19" s="56"/>
      <c r="I19" s="54"/>
      <c r="J19" s="123"/>
      <c r="K19" s="55"/>
      <c r="L19" s="112"/>
      <c r="M19" s="127"/>
      <c r="N19" s="196"/>
      <c r="O19" s="132" t="s">
        <v>125</v>
      </c>
      <c r="P19" s="108"/>
      <c r="Q19" s="54"/>
      <c r="R19" s="123"/>
      <c r="S19" s="112"/>
      <c r="T19" s="115"/>
      <c r="U19" s="115"/>
      <c r="V19" s="196"/>
      <c r="W19" s="139" t="s">
        <v>125</v>
      </c>
      <c r="X19" s="145"/>
      <c r="Y19" s="148"/>
      <c r="Z19" s="166">
        <f t="shared" si="0"/>
        <v>11</v>
      </c>
      <c r="AA19" s="167" t="str">
        <f t="shared" si="1"/>
        <v>P</v>
      </c>
      <c r="AB19" s="168" t="str">
        <f t="shared" si="2"/>
        <v>P</v>
      </c>
      <c r="AC19" s="169" t="str">
        <f t="shared" si="3"/>
        <v>P</v>
      </c>
      <c r="AD19" s="170" t="str">
        <f t="shared" si="4"/>
        <v>P</v>
      </c>
      <c r="AE19" s="169" t="str">
        <f t="shared" si="5"/>
        <v>P</v>
      </c>
      <c r="AF19" s="169" t="str">
        <f t="shared" si="6"/>
        <v>P</v>
      </c>
      <c r="AG19" s="171" t="str">
        <f t="shared" si="7"/>
        <v>P</v>
      </c>
      <c r="AH19" s="168" t="str">
        <f t="shared" si="8"/>
        <v>P</v>
      </c>
      <c r="AI19" s="169" t="str">
        <f t="shared" si="9"/>
        <v>P</v>
      </c>
      <c r="AJ19" s="170" t="str">
        <f t="shared" si="10"/>
        <v>P</v>
      </c>
      <c r="AK19" s="169" t="str">
        <f t="shared" si="11"/>
        <v>P</v>
      </c>
      <c r="AL19" s="169" t="str">
        <f t="shared" si="12"/>
        <v>P</v>
      </c>
      <c r="AM19" s="169" t="str">
        <f t="shared" si="13"/>
        <v>P</v>
      </c>
      <c r="AN19" s="170" t="str">
        <f t="shared" ca="1" si="14"/>
        <v>P</v>
      </c>
      <c r="AO19" s="169" t="str">
        <f t="shared" ca="1" si="15"/>
        <v>P</v>
      </c>
      <c r="AP19" s="170" t="str">
        <f t="shared" ca="1" si="16"/>
        <v>P</v>
      </c>
      <c r="AQ19" s="169" t="str">
        <f t="shared" ca="1" si="17"/>
        <v>P</v>
      </c>
      <c r="AR19" s="172" t="str">
        <f t="shared" ca="1" si="18"/>
        <v>P</v>
      </c>
      <c r="AS19" s="238" t="str">
        <f t="shared" ca="1" si="19"/>
        <v>P</v>
      </c>
      <c r="AT19" s="239" t="str">
        <f t="shared" ca="1" si="20"/>
        <v>P</v>
      </c>
      <c r="AU19" s="172" t="str">
        <f t="shared" ca="1" si="21"/>
        <v>P</v>
      </c>
      <c r="AV19" s="232" t="str">
        <f t="shared" ca="1" si="22"/>
        <v>P</v>
      </c>
      <c r="AW19" s="72" t="str">
        <f t="shared" si="23"/>
        <v>P</v>
      </c>
      <c r="AX19" s="73" t="str">
        <f t="shared" si="24"/>
        <v>P</v>
      </c>
      <c r="AY19" s="73" t="str">
        <f t="shared" ca="1" si="25"/>
        <v>P</v>
      </c>
      <c r="AZ19" s="74" t="str">
        <f t="shared" ca="1" si="26"/>
        <v>P</v>
      </c>
      <c r="BA19" s="75">
        <f t="shared" ca="1" si="27"/>
        <v>60</v>
      </c>
      <c r="BC19" s="89">
        <f t="shared" ca="1" si="28"/>
        <v>0</v>
      </c>
      <c r="BD19" s="90">
        <v>11</v>
      </c>
      <c r="BE19" s="27">
        <f t="shared" ca="1" si="29"/>
        <v>60.018999999999998</v>
      </c>
      <c r="BF19" s="28">
        <f t="shared" ca="1" si="30"/>
        <v>31</v>
      </c>
      <c r="BG19" s="27" t="str">
        <f t="shared" si="31"/>
        <v>Orefield</v>
      </c>
      <c r="BH19" s="29">
        <f t="shared" ca="1" si="32"/>
        <v>60</v>
      </c>
      <c r="BI19" s="27" t="str">
        <f t="shared" ca="1" si="33"/>
        <v>P</v>
      </c>
      <c r="BJ19" s="99">
        <f t="shared" ca="1" si="34"/>
        <v>11</v>
      </c>
      <c r="BK19" s="100" t="str">
        <f t="shared" ca="1" si="35"/>
        <v>Paul J. Gelinas X</v>
      </c>
    </row>
    <row r="20" spans="2:63" x14ac:dyDescent="0.25">
      <c r="B20" s="51">
        <v>12</v>
      </c>
      <c r="C20" s="247" t="s">
        <v>75</v>
      </c>
      <c r="D20" s="53"/>
      <c r="E20" s="37"/>
      <c r="F20" s="191" t="s">
        <v>125</v>
      </c>
      <c r="G20" s="132">
        <v>0</v>
      </c>
      <c r="H20" s="56">
        <v>0</v>
      </c>
      <c r="I20" s="54">
        <v>0</v>
      </c>
      <c r="J20" s="123">
        <v>54.4</v>
      </c>
      <c r="K20" s="55">
        <v>14.695</v>
      </c>
      <c r="L20" s="112"/>
      <c r="M20" s="127"/>
      <c r="N20" s="196" t="s">
        <v>126</v>
      </c>
      <c r="O20" s="132" t="s">
        <v>126</v>
      </c>
      <c r="P20" s="108">
        <v>0</v>
      </c>
      <c r="Q20" s="54">
        <v>0</v>
      </c>
      <c r="R20" s="123">
        <v>23.4</v>
      </c>
      <c r="S20" s="112">
        <v>14.053000000000001</v>
      </c>
      <c r="T20" s="115"/>
      <c r="U20" s="115"/>
      <c r="V20" s="196" t="s">
        <v>126</v>
      </c>
      <c r="W20" s="139" t="s">
        <v>126</v>
      </c>
      <c r="X20" s="145" t="s">
        <v>54</v>
      </c>
      <c r="Y20" s="148" t="s">
        <v>126</v>
      </c>
      <c r="Z20" s="166">
        <f t="shared" si="0"/>
        <v>12</v>
      </c>
      <c r="AA20" s="167">
        <f t="shared" si="1"/>
        <v>1</v>
      </c>
      <c r="AB20" s="168">
        <f t="shared" si="2"/>
        <v>217.6</v>
      </c>
      <c r="AC20" s="169">
        <f t="shared" si="3"/>
        <v>29.4</v>
      </c>
      <c r="AD20" s="170">
        <f t="shared" si="4"/>
        <v>0</v>
      </c>
      <c r="AE20" s="169">
        <f t="shared" si="5"/>
        <v>247</v>
      </c>
      <c r="AF20" s="169" t="str">
        <f t="shared" si="6"/>
        <v>-&gt;</v>
      </c>
      <c r="AG20" s="171">
        <f t="shared" si="7"/>
        <v>1</v>
      </c>
      <c r="AH20" s="168">
        <f t="shared" si="8"/>
        <v>93.6</v>
      </c>
      <c r="AI20" s="169">
        <f t="shared" si="9"/>
        <v>28.1</v>
      </c>
      <c r="AJ20" s="170">
        <f t="shared" si="10"/>
        <v>0</v>
      </c>
      <c r="AK20" s="169">
        <f t="shared" si="11"/>
        <v>121.69999999999999</v>
      </c>
      <c r="AL20" s="169">
        <f t="shared" si="12"/>
        <v>1</v>
      </c>
      <c r="AM20" s="169">
        <f t="shared" si="13"/>
        <v>121.69999999999999</v>
      </c>
      <c r="AN20" s="170">
        <f t="shared" ca="1" si="14"/>
        <v>13</v>
      </c>
      <c r="AO20" s="169">
        <f t="shared" ca="1" si="15"/>
        <v>93.6</v>
      </c>
      <c r="AP20" s="170">
        <f t="shared" ca="1" si="16"/>
        <v>13.028938906752412</v>
      </c>
      <c r="AQ20" s="169">
        <f t="shared" ca="1" si="17"/>
        <v>13</v>
      </c>
      <c r="AR20" s="172">
        <f t="shared" ca="1" si="18"/>
        <v>28.1</v>
      </c>
      <c r="AS20" s="238">
        <f t="shared" ca="1" si="19"/>
        <v>13.184868421052631</v>
      </c>
      <c r="AT20" s="239">
        <f t="shared" ca="1" si="20"/>
        <v>13</v>
      </c>
      <c r="AU20" s="172">
        <f t="shared" ca="1" si="21"/>
        <v>13</v>
      </c>
      <c r="AV20" s="232">
        <f t="shared" ca="1" si="22"/>
        <v>13.003296146044624</v>
      </c>
      <c r="AW20" s="72">
        <f t="shared" si="23"/>
        <v>121.69999999999999</v>
      </c>
      <c r="AX20" s="73">
        <f t="shared" si="24"/>
        <v>1</v>
      </c>
      <c r="AY20" s="73">
        <f t="shared" ca="1" si="25"/>
        <v>0</v>
      </c>
      <c r="AZ20" s="74">
        <f t="shared" ca="1" si="26"/>
        <v>13</v>
      </c>
      <c r="BA20" s="75">
        <f t="shared" ca="1" si="27"/>
        <v>13</v>
      </c>
      <c r="BC20" s="89">
        <f t="shared" ca="1" si="28"/>
        <v>1</v>
      </c>
      <c r="BD20" s="90">
        <v>12</v>
      </c>
      <c r="BE20" s="27">
        <f t="shared" ca="1" si="29"/>
        <v>13.02</v>
      </c>
      <c r="BF20" s="28">
        <f t="shared" ca="1" si="30"/>
        <v>13</v>
      </c>
      <c r="BG20" s="27" t="str">
        <f t="shared" si="31"/>
        <v>Devon Prep</v>
      </c>
      <c r="BH20" s="29">
        <f t="shared" ca="1" si="32"/>
        <v>13</v>
      </c>
      <c r="BI20" s="27">
        <f t="shared" ca="1" si="33"/>
        <v>13</v>
      </c>
      <c r="BJ20" s="99">
        <f t="shared" ca="1" si="34"/>
        <v>12</v>
      </c>
      <c r="BK20" s="100" t="str">
        <f t="shared" ca="1" si="35"/>
        <v>Springhouse Y</v>
      </c>
    </row>
    <row r="21" spans="2:63" x14ac:dyDescent="0.25">
      <c r="B21" s="46">
        <v>13</v>
      </c>
      <c r="C21" s="246" t="s">
        <v>76</v>
      </c>
      <c r="D21" s="47"/>
      <c r="E21" s="38"/>
      <c r="F21" s="190"/>
      <c r="G21" s="131"/>
      <c r="H21" s="49"/>
      <c r="I21" s="45"/>
      <c r="J21" s="122"/>
      <c r="K21" s="48"/>
      <c r="L21" s="111"/>
      <c r="M21" s="126"/>
      <c r="N21" s="195"/>
      <c r="O21" s="131" t="s">
        <v>125</v>
      </c>
      <c r="P21" s="107"/>
      <c r="Q21" s="45"/>
      <c r="R21" s="122"/>
      <c r="S21" s="111"/>
      <c r="T21" s="114"/>
      <c r="U21" s="114"/>
      <c r="V21" s="195"/>
      <c r="W21" s="138"/>
      <c r="X21" s="144"/>
      <c r="Y21" s="147"/>
      <c r="Z21" s="161">
        <f t="shared" si="0"/>
        <v>13</v>
      </c>
      <c r="AA21" s="162" t="str">
        <f t="shared" si="1"/>
        <v>P</v>
      </c>
      <c r="AB21" s="163" t="str">
        <f t="shared" si="2"/>
        <v>P</v>
      </c>
      <c r="AC21" s="158" t="str">
        <f t="shared" si="3"/>
        <v>P</v>
      </c>
      <c r="AD21" s="159" t="str">
        <f t="shared" si="4"/>
        <v>P</v>
      </c>
      <c r="AE21" s="158" t="str">
        <f t="shared" si="5"/>
        <v>P</v>
      </c>
      <c r="AF21" s="158" t="str">
        <f t="shared" si="6"/>
        <v>P</v>
      </c>
      <c r="AG21" s="164" t="str">
        <f t="shared" si="7"/>
        <v>P</v>
      </c>
      <c r="AH21" s="163" t="str">
        <f t="shared" si="8"/>
        <v>P</v>
      </c>
      <c r="AI21" s="158" t="str">
        <f t="shared" si="9"/>
        <v>P</v>
      </c>
      <c r="AJ21" s="159" t="str">
        <f t="shared" si="10"/>
        <v>P</v>
      </c>
      <c r="AK21" s="158" t="str">
        <f t="shared" si="11"/>
        <v>P</v>
      </c>
      <c r="AL21" s="158" t="str">
        <f t="shared" si="12"/>
        <v>P</v>
      </c>
      <c r="AM21" s="158" t="str">
        <f t="shared" si="13"/>
        <v>P</v>
      </c>
      <c r="AN21" s="159" t="str">
        <f t="shared" ca="1" si="14"/>
        <v>P</v>
      </c>
      <c r="AO21" s="158" t="str">
        <f t="shared" ca="1" si="15"/>
        <v>P</v>
      </c>
      <c r="AP21" s="159" t="str">
        <f t="shared" ca="1" si="16"/>
        <v>P</v>
      </c>
      <c r="AQ21" s="158" t="str">
        <f t="shared" ca="1" si="17"/>
        <v>P</v>
      </c>
      <c r="AR21" s="165" t="str">
        <f t="shared" ca="1" si="18"/>
        <v>P</v>
      </c>
      <c r="AS21" s="236" t="str">
        <f t="shared" ca="1" si="19"/>
        <v>P</v>
      </c>
      <c r="AT21" s="237" t="str">
        <f t="shared" ca="1" si="20"/>
        <v>P</v>
      </c>
      <c r="AU21" s="165" t="str">
        <f t="shared" ca="1" si="21"/>
        <v>P</v>
      </c>
      <c r="AV21" s="231" t="str">
        <f t="shared" ca="1" si="22"/>
        <v>P</v>
      </c>
      <c r="AW21" s="68" t="str">
        <f t="shared" si="23"/>
        <v>P</v>
      </c>
      <c r="AX21" s="69" t="str">
        <f t="shared" si="24"/>
        <v>P</v>
      </c>
      <c r="AY21" s="69" t="str">
        <f t="shared" ca="1" si="25"/>
        <v>P</v>
      </c>
      <c r="AZ21" s="70" t="str">
        <f t="shared" ca="1" si="26"/>
        <v>P</v>
      </c>
      <c r="BA21" s="71">
        <f t="shared" ca="1" si="27"/>
        <v>60</v>
      </c>
      <c r="BC21" s="87">
        <f t="shared" ca="1" si="28"/>
        <v>0</v>
      </c>
      <c r="BD21" s="88">
        <v>13</v>
      </c>
      <c r="BE21" s="31">
        <f t="shared" ca="1" si="29"/>
        <v>60.021000000000001</v>
      </c>
      <c r="BF21" s="32">
        <f t="shared" ca="1" si="30"/>
        <v>32</v>
      </c>
      <c r="BG21" s="31" t="str">
        <f t="shared" si="31"/>
        <v>Luther Jackson X</v>
      </c>
      <c r="BH21" s="33">
        <f t="shared" ca="1" si="32"/>
        <v>60</v>
      </c>
      <c r="BI21" s="31" t="str">
        <f t="shared" ca="1" si="33"/>
        <v>P</v>
      </c>
      <c r="BJ21" s="97">
        <f t="shared" ca="1" si="34"/>
        <v>13</v>
      </c>
      <c r="BK21" s="98" t="str">
        <f t="shared" ca="1" si="35"/>
        <v>Devon Prep</v>
      </c>
    </row>
    <row r="22" spans="2:63" x14ac:dyDescent="0.25">
      <c r="B22" s="46">
        <v>14</v>
      </c>
      <c r="C22" s="246" t="s">
        <v>77</v>
      </c>
      <c r="D22" s="47"/>
      <c r="E22" s="38"/>
      <c r="F22" s="190"/>
      <c r="G22" s="131"/>
      <c r="H22" s="49"/>
      <c r="I22" s="45"/>
      <c r="J22" s="122"/>
      <c r="K22" s="48"/>
      <c r="L22" s="111"/>
      <c r="M22" s="126"/>
      <c r="N22" s="195"/>
      <c r="O22" s="131"/>
      <c r="P22" s="107"/>
      <c r="Q22" s="45"/>
      <c r="R22" s="122"/>
      <c r="S22" s="111"/>
      <c r="T22" s="114"/>
      <c r="U22" s="114"/>
      <c r="V22" s="195"/>
      <c r="W22" s="138"/>
      <c r="X22" s="144"/>
      <c r="Y22" s="147"/>
      <c r="Z22" s="161">
        <f t="shared" si="0"/>
        <v>14</v>
      </c>
      <c r="AA22" s="162" t="str">
        <f t="shared" si="1"/>
        <v>NS</v>
      </c>
      <c r="AB22" s="163" t="str">
        <f t="shared" si="2"/>
        <v>NS</v>
      </c>
      <c r="AC22" s="158" t="str">
        <f t="shared" si="3"/>
        <v>NS</v>
      </c>
      <c r="AD22" s="159" t="str">
        <f t="shared" si="4"/>
        <v>NS</v>
      </c>
      <c r="AE22" s="158" t="str">
        <f t="shared" si="5"/>
        <v>NS</v>
      </c>
      <c r="AF22" s="158" t="str">
        <f t="shared" si="6"/>
        <v>NS</v>
      </c>
      <c r="AG22" s="164" t="str">
        <f t="shared" si="7"/>
        <v>NS</v>
      </c>
      <c r="AH22" s="163" t="str">
        <f t="shared" si="8"/>
        <v>NS</v>
      </c>
      <c r="AI22" s="158" t="str">
        <f t="shared" si="9"/>
        <v>NS</v>
      </c>
      <c r="AJ22" s="159" t="str">
        <f t="shared" si="10"/>
        <v>NS</v>
      </c>
      <c r="AK22" s="158" t="str">
        <f t="shared" si="11"/>
        <v>NS</v>
      </c>
      <c r="AL22" s="158" t="str">
        <f t="shared" si="12"/>
        <v>NS</v>
      </c>
      <c r="AM22" s="158" t="str">
        <f t="shared" si="13"/>
        <v>NS</v>
      </c>
      <c r="AN22" s="159" t="str">
        <f t="shared" ca="1" si="14"/>
        <v>NS</v>
      </c>
      <c r="AO22" s="158" t="str">
        <f t="shared" ca="1" si="15"/>
        <v>NS</v>
      </c>
      <c r="AP22" s="159" t="str">
        <f t="shared" ca="1" si="16"/>
        <v>NS</v>
      </c>
      <c r="AQ22" s="158" t="str">
        <f t="shared" ca="1" si="17"/>
        <v>NS</v>
      </c>
      <c r="AR22" s="165" t="str">
        <f t="shared" ca="1" si="18"/>
        <v>NS</v>
      </c>
      <c r="AS22" s="236" t="str">
        <f t="shared" ca="1" si="19"/>
        <v>NS</v>
      </c>
      <c r="AT22" s="237" t="str">
        <f t="shared" ca="1" si="20"/>
        <v>NS</v>
      </c>
      <c r="AU22" s="165" t="str">
        <f t="shared" ca="1" si="21"/>
        <v>NS</v>
      </c>
      <c r="AV22" s="231" t="str">
        <f t="shared" ca="1" si="22"/>
        <v>NS</v>
      </c>
      <c r="AW22" s="68" t="str">
        <f t="shared" si="23"/>
        <v>NS</v>
      </c>
      <c r="AX22" s="69" t="str">
        <f t="shared" si="24"/>
        <v>NS</v>
      </c>
      <c r="AY22" s="69" t="str">
        <f t="shared" ca="1" si="25"/>
        <v>NS</v>
      </c>
      <c r="AZ22" s="70" t="str">
        <f t="shared" ca="1" si="26"/>
        <v>NS</v>
      </c>
      <c r="BA22" s="71">
        <f t="shared" ca="1" si="27"/>
        <v>61</v>
      </c>
      <c r="BC22" s="87">
        <f t="shared" ca="1" si="28"/>
        <v>0</v>
      </c>
      <c r="BD22" s="88">
        <v>14</v>
      </c>
      <c r="BE22" s="31">
        <f t="shared" ca="1" si="29"/>
        <v>61.021999999999998</v>
      </c>
      <c r="BF22" s="32">
        <f t="shared" ca="1" si="30"/>
        <v>45</v>
      </c>
      <c r="BG22" s="31" t="str">
        <f t="shared" si="31"/>
        <v>Luther Jackson Y</v>
      </c>
      <c r="BH22" s="33">
        <f t="shared" ca="1" si="32"/>
        <v>61</v>
      </c>
      <c r="BI22" s="31" t="str">
        <f t="shared" ca="1" si="33"/>
        <v>NS</v>
      </c>
      <c r="BJ22" s="97">
        <f t="shared" ca="1" si="34"/>
        <v>14</v>
      </c>
      <c r="BK22" s="98" t="str">
        <f t="shared" ca="1" si="35"/>
        <v>Hershey X</v>
      </c>
    </row>
    <row r="23" spans="2:63" x14ac:dyDescent="0.25">
      <c r="B23" s="46">
        <v>15</v>
      </c>
      <c r="C23" s="246" t="s">
        <v>78</v>
      </c>
      <c r="D23" s="47"/>
      <c r="E23" s="38"/>
      <c r="F23" s="190" t="s">
        <v>125</v>
      </c>
      <c r="G23" s="131"/>
      <c r="H23" s="49"/>
      <c r="I23" s="45"/>
      <c r="J23" s="122"/>
      <c r="K23" s="48"/>
      <c r="L23" s="111"/>
      <c r="M23" s="126"/>
      <c r="N23" s="195"/>
      <c r="O23" s="131" t="s">
        <v>125</v>
      </c>
      <c r="P23" s="107"/>
      <c r="Q23" s="45"/>
      <c r="R23" s="122"/>
      <c r="S23" s="111"/>
      <c r="T23" s="114"/>
      <c r="U23" s="114"/>
      <c r="V23" s="195"/>
      <c r="W23" s="138" t="s">
        <v>125</v>
      </c>
      <c r="X23" s="144"/>
      <c r="Y23" s="147"/>
      <c r="Z23" s="161">
        <f t="shared" si="0"/>
        <v>15</v>
      </c>
      <c r="AA23" s="162" t="str">
        <f t="shared" si="1"/>
        <v>P</v>
      </c>
      <c r="AB23" s="163" t="str">
        <f t="shared" si="2"/>
        <v>P</v>
      </c>
      <c r="AC23" s="158" t="str">
        <f t="shared" si="3"/>
        <v>P</v>
      </c>
      <c r="AD23" s="159" t="str">
        <f t="shared" si="4"/>
        <v>P</v>
      </c>
      <c r="AE23" s="158" t="str">
        <f t="shared" si="5"/>
        <v>P</v>
      </c>
      <c r="AF23" s="158" t="str">
        <f t="shared" si="6"/>
        <v>P</v>
      </c>
      <c r="AG23" s="164" t="str">
        <f t="shared" si="7"/>
        <v>P</v>
      </c>
      <c r="AH23" s="163" t="str">
        <f t="shared" si="8"/>
        <v>P</v>
      </c>
      <c r="AI23" s="158" t="str">
        <f t="shared" si="9"/>
        <v>P</v>
      </c>
      <c r="AJ23" s="159" t="str">
        <f t="shared" si="10"/>
        <v>P</v>
      </c>
      <c r="AK23" s="158" t="str">
        <f t="shared" si="11"/>
        <v>P</v>
      </c>
      <c r="AL23" s="158" t="str">
        <f t="shared" si="12"/>
        <v>P</v>
      </c>
      <c r="AM23" s="158" t="str">
        <f t="shared" si="13"/>
        <v>P</v>
      </c>
      <c r="AN23" s="159" t="str">
        <f t="shared" ca="1" si="14"/>
        <v>P</v>
      </c>
      <c r="AO23" s="158" t="str">
        <f t="shared" ca="1" si="15"/>
        <v>P</v>
      </c>
      <c r="AP23" s="159" t="str">
        <f t="shared" ca="1" si="16"/>
        <v>P</v>
      </c>
      <c r="AQ23" s="158" t="str">
        <f t="shared" ca="1" si="17"/>
        <v>P</v>
      </c>
      <c r="AR23" s="165" t="str">
        <f t="shared" ca="1" si="18"/>
        <v>P</v>
      </c>
      <c r="AS23" s="236" t="str">
        <f t="shared" ca="1" si="19"/>
        <v>P</v>
      </c>
      <c r="AT23" s="237" t="str">
        <f t="shared" ca="1" si="20"/>
        <v>P</v>
      </c>
      <c r="AU23" s="165" t="str">
        <f t="shared" ca="1" si="21"/>
        <v>P</v>
      </c>
      <c r="AV23" s="231" t="str">
        <f t="shared" ca="1" si="22"/>
        <v>P</v>
      </c>
      <c r="AW23" s="68" t="str">
        <f t="shared" si="23"/>
        <v>P</v>
      </c>
      <c r="AX23" s="69" t="str">
        <f t="shared" si="24"/>
        <v>P</v>
      </c>
      <c r="AY23" s="69" t="str">
        <f t="shared" ca="1" si="25"/>
        <v>P</v>
      </c>
      <c r="AZ23" s="70" t="str">
        <f t="shared" ca="1" si="26"/>
        <v>P</v>
      </c>
      <c r="BA23" s="71">
        <f t="shared" ca="1" si="27"/>
        <v>60</v>
      </c>
      <c r="BC23" s="87">
        <f t="shared" ca="1" si="28"/>
        <v>0</v>
      </c>
      <c r="BD23" s="88">
        <v>15</v>
      </c>
      <c r="BE23" s="31">
        <f t="shared" ca="1" si="29"/>
        <v>60.023000000000003</v>
      </c>
      <c r="BF23" s="32">
        <f t="shared" ca="1" si="30"/>
        <v>33</v>
      </c>
      <c r="BG23" s="31" t="str">
        <f t="shared" si="31"/>
        <v>Eagle View</v>
      </c>
      <c r="BH23" s="33">
        <f t="shared" ca="1" si="32"/>
        <v>60</v>
      </c>
      <c r="BI23" s="31" t="str">
        <f t="shared" ca="1" si="33"/>
        <v>P</v>
      </c>
      <c r="BJ23" s="97">
        <f t="shared" ca="1" si="34"/>
        <v>15</v>
      </c>
      <c r="BK23" s="98" t="str">
        <f t="shared" ca="1" si="35"/>
        <v>Rocky Run X</v>
      </c>
    </row>
    <row r="24" spans="2:63" x14ac:dyDescent="0.25">
      <c r="B24" s="51">
        <v>16</v>
      </c>
      <c r="C24" s="247" t="s">
        <v>79</v>
      </c>
      <c r="D24" s="53"/>
      <c r="E24" s="37"/>
      <c r="F24" s="191" t="s">
        <v>125</v>
      </c>
      <c r="G24" s="132">
        <v>0</v>
      </c>
      <c r="H24" s="56">
        <v>1</v>
      </c>
      <c r="I24" s="54">
        <v>0</v>
      </c>
      <c r="J24" s="123">
        <v>103.4</v>
      </c>
      <c r="K24" s="55">
        <v>3.4359999999999999</v>
      </c>
      <c r="L24" s="112"/>
      <c r="M24" s="127"/>
      <c r="N24" s="196" t="s">
        <v>126</v>
      </c>
      <c r="O24" s="132" t="s">
        <v>126</v>
      </c>
      <c r="P24" s="108">
        <v>0</v>
      </c>
      <c r="Q24" s="54">
        <v>0</v>
      </c>
      <c r="R24" s="123">
        <v>119</v>
      </c>
      <c r="S24" s="112">
        <v>3.8090000000000002</v>
      </c>
      <c r="T24" s="115"/>
      <c r="U24" s="115"/>
      <c r="V24" s="196" t="s">
        <v>126</v>
      </c>
      <c r="W24" s="139" t="s">
        <v>126</v>
      </c>
      <c r="X24" s="145" t="s">
        <v>54</v>
      </c>
      <c r="Y24" s="148" t="s">
        <v>126</v>
      </c>
      <c r="Z24" s="166">
        <f t="shared" si="0"/>
        <v>16</v>
      </c>
      <c r="AA24" s="167">
        <f t="shared" si="1"/>
        <v>1</v>
      </c>
      <c r="AB24" s="168">
        <f t="shared" si="2"/>
        <v>413.6</v>
      </c>
      <c r="AC24" s="169">
        <f t="shared" si="3"/>
        <v>6.88</v>
      </c>
      <c r="AD24" s="170">
        <f t="shared" si="4"/>
        <v>5000</v>
      </c>
      <c r="AE24" s="169">
        <f t="shared" si="5"/>
        <v>5420.48</v>
      </c>
      <c r="AF24" s="169" t="str">
        <f t="shared" si="6"/>
        <v>-&gt;</v>
      </c>
      <c r="AG24" s="171">
        <f t="shared" si="7"/>
        <v>1</v>
      </c>
      <c r="AH24" s="168">
        <f t="shared" si="8"/>
        <v>476</v>
      </c>
      <c r="AI24" s="169">
        <f t="shared" si="9"/>
        <v>7.62</v>
      </c>
      <c r="AJ24" s="170">
        <f t="shared" si="10"/>
        <v>0</v>
      </c>
      <c r="AK24" s="169">
        <f t="shared" si="11"/>
        <v>483.62</v>
      </c>
      <c r="AL24" s="169">
        <f t="shared" si="12"/>
        <v>1</v>
      </c>
      <c r="AM24" s="169">
        <f t="shared" si="13"/>
        <v>483.62</v>
      </c>
      <c r="AN24" s="170">
        <f t="shared" ca="1" si="14"/>
        <v>23</v>
      </c>
      <c r="AO24" s="169">
        <f t="shared" ca="1" si="15"/>
        <v>476</v>
      </c>
      <c r="AP24" s="170">
        <f t="shared" ca="1" si="16"/>
        <v>23.147167944595598</v>
      </c>
      <c r="AQ24" s="169">
        <f t="shared" ca="1" si="17"/>
        <v>23</v>
      </c>
      <c r="AR24" s="172">
        <f t="shared" ca="1" si="18"/>
        <v>7.62</v>
      </c>
      <c r="AS24" s="238">
        <f t="shared" ca="1" si="19"/>
        <v>23.050131578947369</v>
      </c>
      <c r="AT24" s="239">
        <f t="shared" ca="1" si="20"/>
        <v>23</v>
      </c>
      <c r="AU24" s="172">
        <f t="shared" ca="1" si="21"/>
        <v>23</v>
      </c>
      <c r="AV24" s="232">
        <f t="shared" ca="1" si="22"/>
        <v>23.005831643002029</v>
      </c>
      <c r="AW24" s="72">
        <f t="shared" si="23"/>
        <v>483.62</v>
      </c>
      <c r="AX24" s="73">
        <f t="shared" si="24"/>
        <v>1</v>
      </c>
      <c r="AY24" s="73">
        <f t="shared" ca="1" si="25"/>
        <v>0</v>
      </c>
      <c r="AZ24" s="74">
        <f t="shared" ca="1" si="26"/>
        <v>23</v>
      </c>
      <c r="BA24" s="75">
        <f t="shared" ca="1" si="27"/>
        <v>23</v>
      </c>
      <c r="BC24" s="89">
        <f t="shared" ca="1" si="28"/>
        <v>1</v>
      </c>
      <c r="BD24" s="90">
        <v>16</v>
      </c>
      <c r="BE24" s="27">
        <f t="shared" ca="1" si="29"/>
        <v>23.024000000000001</v>
      </c>
      <c r="BF24" s="28">
        <f t="shared" ca="1" si="30"/>
        <v>23</v>
      </c>
      <c r="BG24" s="27" t="str">
        <f t="shared" si="31"/>
        <v>Garnet Valley</v>
      </c>
      <c r="BH24" s="29">
        <f t="shared" ca="1" si="32"/>
        <v>23</v>
      </c>
      <c r="BI24" s="27">
        <f t="shared" ca="1" si="33"/>
        <v>23</v>
      </c>
      <c r="BJ24" s="99">
        <f t="shared" ca="1" si="34"/>
        <v>16</v>
      </c>
      <c r="BK24" s="100" t="str">
        <f t="shared" ca="1" si="35"/>
        <v>Sunset Prep X</v>
      </c>
    </row>
    <row r="25" spans="2:63" x14ac:dyDescent="0.25">
      <c r="B25" s="51">
        <v>17</v>
      </c>
      <c r="C25" s="247" t="s">
        <v>80</v>
      </c>
      <c r="D25" s="53"/>
      <c r="E25" s="37"/>
      <c r="F25" s="191"/>
      <c r="G25" s="132"/>
      <c r="H25" s="56"/>
      <c r="I25" s="54"/>
      <c r="J25" s="123"/>
      <c r="K25" s="55"/>
      <c r="L25" s="112"/>
      <c r="M25" s="127"/>
      <c r="N25" s="196"/>
      <c r="O25" s="132" t="s">
        <v>125</v>
      </c>
      <c r="P25" s="108"/>
      <c r="Q25" s="54"/>
      <c r="R25" s="123"/>
      <c r="S25" s="112"/>
      <c r="T25" s="115"/>
      <c r="U25" s="115"/>
      <c r="V25" s="196"/>
      <c r="W25" s="139" t="s">
        <v>125</v>
      </c>
      <c r="X25" s="145"/>
      <c r="Y25" s="148"/>
      <c r="Z25" s="166">
        <f t="shared" si="0"/>
        <v>17</v>
      </c>
      <c r="AA25" s="167" t="str">
        <f t="shared" si="1"/>
        <v>P</v>
      </c>
      <c r="AB25" s="168" t="str">
        <f t="shared" si="2"/>
        <v>P</v>
      </c>
      <c r="AC25" s="169" t="str">
        <f t="shared" si="3"/>
        <v>P</v>
      </c>
      <c r="AD25" s="170" t="str">
        <f t="shared" si="4"/>
        <v>P</v>
      </c>
      <c r="AE25" s="169" t="str">
        <f t="shared" si="5"/>
        <v>P</v>
      </c>
      <c r="AF25" s="169" t="str">
        <f t="shared" si="6"/>
        <v>P</v>
      </c>
      <c r="AG25" s="171" t="str">
        <f t="shared" si="7"/>
        <v>P</v>
      </c>
      <c r="AH25" s="168" t="str">
        <f t="shared" si="8"/>
        <v>P</v>
      </c>
      <c r="AI25" s="169" t="str">
        <f t="shared" si="9"/>
        <v>P</v>
      </c>
      <c r="AJ25" s="170" t="str">
        <f t="shared" si="10"/>
        <v>P</v>
      </c>
      <c r="AK25" s="169" t="str">
        <f t="shared" si="11"/>
        <v>P</v>
      </c>
      <c r="AL25" s="169" t="str">
        <f t="shared" si="12"/>
        <v>P</v>
      </c>
      <c r="AM25" s="169" t="str">
        <f t="shared" si="13"/>
        <v>P</v>
      </c>
      <c r="AN25" s="170" t="str">
        <f t="shared" ca="1" si="14"/>
        <v>P</v>
      </c>
      <c r="AO25" s="169" t="str">
        <f t="shared" ca="1" si="15"/>
        <v>P</v>
      </c>
      <c r="AP25" s="170" t="str">
        <f t="shared" ca="1" si="16"/>
        <v>P</v>
      </c>
      <c r="AQ25" s="169" t="str">
        <f t="shared" ca="1" si="17"/>
        <v>P</v>
      </c>
      <c r="AR25" s="172" t="str">
        <f t="shared" ca="1" si="18"/>
        <v>P</v>
      </c>
      <c r="AS25" s="238" t="str">
        <f t="shared" ca="1" si="19"/>
        <v>P</v>
      </c>
      <c r="AT25" s="239" t="str">
        <f t="shared" ca="1" si="20"/>
        <v>P</v>
      </c>
      <c r="AU25" s="172" t="str">
        <f t="shared" ca="1" si="21"/>
        <v>P</v>
      </c>
      <c r="AV25" s="232" t="str">
        <f t="shared" ca="1" si="22"/>
        <v>P</v>
      </c>
      <c r="AW25" s="72" t="str">
        <f t="shared" si="23"/>
        <v>P</v>
      </c>
      <c r="AX25" s="73" t="str">
        <f t="shared" si="24"/>
        <v>P</v>
      </c>
      <c r="AY25" s="73" t="str">
        <f t="shared" ca="1" si="25"/>
        <v>P</v>
      </c>
      <c r="AZ25" s="74" t="str">
        <f t="shared" ca="1" si="26"/>
        <v>P</v>
      </c>
      <c r="BA25" s="75">
        <f t="shared" ca="1" si="27"/>
        <v>60</v>
      </c>
      <c r="BC25" s="89">
        <f t="shared" ca="1" si="28"/>
        <v>0</v>
      </c>
      <c r="BD25" s="90">
        <v>17</v>
      </c>
      <c r="BE25" s="27">
        <f t="shared" ca="1" si="29"/>
        <v>60.024999999999999</v>
      </c>
      <c r="BF25" s="28">
        <f t="shared" ca="1" si="30"/>
        <v>34</v>
      </c>
      <c r="BG25" s="27" t="str">
        <f t="shared" si="31"/>
        <v>Abington Heights X</v>
      </c>
      <c r="BH25" s="29">
        <f t="shared" ca="1" si="32"/>
        <v>60</v>
      </c>
      <c r="BI25" s="27" t="str">
        <f t="shared" ca="1" si="33"/>
        <v>P</v>
      </c>
      <c r="BJ25" s="99">
        <f t="shared" ca="1" si="34"/>
        <v>17</v>
      </c>
      <c r="BK25" s="100" t="str">
        <f t="shared" ca="1" si="35"/>
        <v>Strath Haven X</v>
      </c>
    </row>
    <row r="26" spans="2:63" x14ac:dyDescent="0.25">
      <c r="B26" s="51">
        <v>18</v>
      </c>
      <c r="C26" s="247" t="s">
        <v>81</v>
      </c>
      <c r="D26" s="53"/>
      <c r="E26" s="37"/>
      <c r="F26" s="191"/>
      <c r="G26" s="132"/>
      <c r="H26" s="56"/>
      <c r="I26" s="54"/>
      <c r="J26" s="123"/>
      <c r="K26" s="55"/>
      <c r="L26" s="112"/>
      <c r="M26" s="127"/>
      <c r="N26" s="196"/>
      <c r="O26" s="132"/>
      <c r="P26" s="108"/>
      <c r="Q26" s="54"/>
      <c r="R26" s="123"/>
      <c r="S26" s="112"/>
      <c r="T26" s="115"/>
      <c r="U26" s="115"/>
      <c r="V26" s="196"/>
      <c r="W26" s="139"/>
      <c r="X26" s="145"/>
      <c r="Y26" s="148"/>
      <c r="Z26" s="166">
        <f t="shared" si="0"/>
        <v>18</v>
      </c>
      <c r="AA26" s="167" t="str">
        <f t="shared" si="1"/>
        <v>NS</v>
      </c>
      <c r="AB26" s="168" t="str">
        <f t="shared" si="2"/>
        <v>NS</v>
      </c>
      <c r="AC26" s="169" t="str">
        <f t="shared" si="3"/>
        <v>NS</v>
      </c>
      <c r="AD26" s="170" t="str">
        <f t="shared" si="4"/>
        <v>NS</v>
      </c>
      <c r="AE26" s="169" t="str">
        <f t="shared" si="5"/>
        <v>NS</v>
      </c>
      <c r="AF26" s="169" t="str">
        <f t="shared" si="6"/>
        <v>NS</v>
      </c>
      <c r="AG26" s="171" t="str">
        <f t="shared" si="7"/>
        <v>NS</v>
      </c>
      <c r="AH26" s="168" t="str">
        <f t="shared" si="8"/>
        <v>NS</v>
      </c>
      <c r="AI26" s="169" t="str">
        <f t="shared" si="9"/>
        <v>NS</v>
      </c>
      <c r="AJ26" s="170" t="str">
        <f t="shared" si="10"/>
        <v>NS</v>
      </c>
      <c r="AK26" s="169" t="str">
        <f t="shared" si="11"/>
        <v>NS</v>
      </c>
      <c r="AL26" s="169" t="str">
        <f t="shared" si="12"/>
        <v>NS</v>
      </c>
      <c r="AM26" s="169" t="str">
        <f t="shared" si="13"/>
        <v>NS</v>
      </c>
      <c r="AN26" s="170" t="str">
        <f t="shared" ca="1" si="14"/>
        <v>NS</v>
      </c>
      <c r="AO26" s="169" t="str">
        <f t="shared" ca="1" si="15"/>
        <v>NS</v>
      </c>
      <c r="AP26" s="170" t="str">
        <f t="shared" ca="1" si="16"/>
        <v>NS</v>
      </c>
      <c r="AQ26" s="169" t="str">
        <f t="shared" ca="1" si="17"/>
        <v>NS</v>
      </c>
      <c r="AR26" s="172" t="str">
        <f t="shared" ca="1" si="18"/>
        <v>NS</v>
      </c>
      <c r="AS26" s="238" t="str">
        <f t="shared" ca="1" si="19"/>
        <v>NS</v>
      </c>
      <c r="AT26" s="239" t="str">
        <f t="shared" ca="1" si="20"/>
        <v>NS</v>
      </c>
      <c r="AU26" s="172" t="str">
        <f t="shared" ca="1" si="21"/>
        <v>NS</v>
      </c>
      <c r="AV26" s="232" t="str">
        <f t="shared" ca="1" si="22"/>
        <v>NS</v>
      </c>
      <c r="AW26" s="72" t="str">
        <f t="shared" si="23"/>
        <v>NS</v>
      </c>
      <c r="AX26" s="73" t="str">
        <f t="shared" si="24"/>
        <v>NS</v>
      </c>
      <c r="AY26" s="73" t="str">
        <f t="shared" ca="1" si="25"/>
        <v>NS</v>
      </c>
      <c r="AZ26" s="74" t="str">
        <f t="shared" ca="1" si="26"/>
        <v>NS</v>
      </c>
      <c r="BA26" s="75">
        <f t="shared" ca="1" si="27"/>
        <v>61</v>
      </c>
      <c r="BC26" s="89">
        <f t="shared" ca="1" si="28"/>
        <v>0</v>
      </c>
      <c r="BD26" s="90">
        <v>18</v>
      </c>
      <c r="BE26" s="27">
        <f t="shared" ca="1" si="29"/>
        <v>61.026000000000003</v>
      </c>
      <c r="BF26" s="28">
        <f t="shared" ca="1" si="30"/>
        <v>46</v>
      </c>
      <c r="BG26" s="27" t="str">
        <f t="shared" si="31"/>
        <v>Abington Heights Y</v>
      </c>
      <c r="BH26" s="29">
        <f t="shared" ca="1" si="32"/>
        <v>61</v>
      </c>
      <c r="BI26" s="27" t="str">
        <f t="shared" ca="1" si="33"/>
        <v>NS</v>
      </c>
      <c r="BJ26" s="99">
        <f t="shared" ca="1" si="34"/>
        <v>18</v>
      </c>
      <c r="BK26" s="100" t="str">
        <f t="shared" ca="1" si="35"/>
        <v>Clarksville X</v>
      </c>
    </row>
    <row r="27" spans="2:63" x14ac:dyDescent="0.25">
      <c r="B27" s="46">
        <v>19</v>
      </c>
      <c r="C27" s="246" t="s">
        <v>82</v>
      </c>
      <c r="D27" s="47"/>
      <c r="E27" s="38"/>
      <c r="F27" s="190" t="s">
        <v>125</v>
      </c>
      <c r="G27" s="131">
        <v>0</v>
      </c>
      <c r="H27" s="49">
        <v>0</v>
      </c>
      <c r="I27" s="45">
        <v>0</v>
      </c>
      <c r="J27" s="122">
        <v>141.6</v>
      </c>
      <c r="K27" s="48">
        <v>10.994</v>
      </c>
      <c r="L27" s="111"/>
      <c r="M27" s="126"/>
      <c r="N27" s="195" t="s">
        <v>126</v>
      </c>
      <c r="O27" s="131" t="s">
        <v>126</v>
      </c>
      <c r="P27" s="107">
        <v>0</v>
      </c>
      <c r="Q27" s="45">
        <v>0</v>
      </c>
      <c r="R27" s="122">
        <v>76.599999999999994</v>
      </c>
      <c r="S27" s="111">
        <v>10.914</v>
      </c>
      <c r="T27" s="114"/>
      <c r="U27" s="114"/>
      <c r="V27" s="195" t="s">
        <v>126</v>
      </c>
      <c r="W27" s="138" t="s">
        <v>126</v>
      </c>
      <c r="X27" s="144" t="s">
        <v>54</v>
      </c>
      <c r="Y27" s="147" t="s">
        <v>126</v>
      </c>
      <c r="Z27" s="161">
        <f t="shared" si="0"/>
        <v>19</v>
      </c>
      <c r="AA27" s="162">
        <f t="shared" si="1"/>
        <v>1</v>
      </c>
      <c r="AB27" s="163">
        <f t="shared" si="2"/>
        <v>566.4</v>
      </c>
      <c r="AC27" s="158">
        <f t="shared" si="3"/>
        <v>21.98</v>
      </c>
      <c r="AD27" s="159">
        <f t="shared" si="4"/>
        <v>0</v>
      </c>
      <c r="AE27" s="158">
        <f t="shared" si="5"/>
        <v>588.38</v>
      </c>
      <c r="AF27" s="158" t="str">
        <f t="shared" si="6"/>
        <v>-&gt;</v>
      </c>
      <c r="AG27" s="164">
        <f t="shared" si="7"/>
        <v>1</v>
      </c>
      <c r="AH27" s="163">
        <f t="shared" si="8"/>
        <v>306.39999999999998</v>
      </c>
      <c r="AI27" s="158">
        <f t="shared" si="9"/>
        <v>21.82</v>
      </c>
      <c r="AJ27" s="159">
        <f t="shared" si="10"/>
        <v>0</v>
      </c>
      <c r="AK27" s="158">
        <f t="shared" si="11"/>
        <v>328.21999999999997</v>
      </c>
      <c r="AL27" s="158">
        <f t="shared" si="12"/>
        <v>1</v>
      </c>
      <c r="AM27" s="158">
        <f t="shared" si="13"/>
        <v>328.21999999999997</v>
      </c>
      <c r="AN27" s="159">
        <f t="shared" ca="1" si="14"/>
        <v>21</v>
      </c>
      <c r="AO27" s="158">
        <f t="shared" ca="1" si="15"/>
        <v>306.39999999999998</v>
      </c>
      <c r="AP27" s="159">
        <f t="shared" ca="1" si="16"/>
        <v>21.09473163492456</v>
      </c>
      <c r="AQ27" s="158">
        <f t="shared" ca="1" si="17"/>
        <v>21</v>
      </c>
      <c r="AR27" s="165">
        <f t="shared" ca="1" si="18"/>
        <v>21.82</v>
      </c>
      <c r="AS27" s="236">
        <f t="shared" ca="1" si="19"/>
        <v>21.143552631578949</v>
      </c>
      <c r="AT27" s="237">
        <f t="shared" ca="1" si="20"/>
        <v>21</v>
      </c>
      <c r="AU27" s="165">
        <f t="shared" ca="1" si="21"/>
        <v>21</v>
      </c>
      <c r="AV27" s="231">
        <f t="shared" ca="1" si="22"/>
        <v>21.005324543610548</v>
      </c>
      <c r="AW27" s="68">
        <f t="shared" si="23"/>
        <v>328.21999999999997</v>
      </c>
      <c r="AX27" s="69">
        <f t="shared" si="24"/>
        <v>1</v>
      </c>
      <c r="AY27" s="69">
        <f t="shared" ca="1" si="25"/>
        <v>0</v>
      </c>
      <c r="AZ27" s="70">
        <f t="shared" ca="1" si="26"/>
        <v>21</v>
      </c>
      <c r="BA27" s="71">
        <f t="shared" ca="1" si="27"/>
        <v>21</v>
      </c>
      <c r="BC27" s="87">
        <f t="shared" ca="1" si="28"/>
        <v>1</v>
      </c>
      <c r="BD27" s="88">
        <v>19</v>
      </c>
      <c r="BE27" s="31">
        <f t="shared" ca="1" si="29"/>
        <v>21.027000000000001</v>
      </c>
      <c r="BF27" s="32">
        <f t="shared" ca="1" si="30"/>
        <v>21</v>
      </c>
      <c r="BG27" s="31" t="str">
        <f t="shared" si="31"/>
        <v>Tredyffrin-Easttown X</v>
      </c>
      <c r="BH27" s="33">
        <f t="shared" ca="1" si="32"/>
        <v>21</v>
      </c>
      <c r="BI27" s="31">
        <f t="shared" ca="1" si="33"/>
        <v>21</v>
      </c>
      <c r="BJ27" s="97">
        <f t="shared" ca="1" si="34"/>
        <v>19</v>
      </c>
      <c r="BK27" s="98" t="str">
        <f t="shared" ca="1" si="35"/>
        <v>Bay Academy X</v>
      </c>
    </row>
    <row r="28" spans="2:63" x14ac:dyDescent="0.25">
      <c r="B28" s="46">
        <v>20</v>
      </c>
      <c r="C28" s="246" t="s">
        <v>83</v>
      </c>
      <c r="D28" s="47"/>
      <c r="E28" s="38"/>
      <c r="F28" s="190"/>
      <c r="G28" s="131"/>
      <c r="H28" s="49"/>
      <c r="I28" s="45"/>
      <c r="J28" s="122"/>
      <c r="K28" s="48"/>
      <c r="L28" s="111"/>
      <c r="M28" s="126"/>
      <c r="N28" s="195"/>
      <c r="O28" s="131" t="s">
        <v>125</v>
      </c>
      <c r="P28" s="107"/>
      <c r="Q28" s="45"/>
      <c r="R28" s="122"/>
      <c r="S28" s="111"/>
      <c r="T28" s="114"/>
      <c r="U28" s="114"/>
      <c r="V28" s="195"/>
      <c r="W28" s="138" t="s">
        <v>125</v>
      </c>
      <c r="X28" s="144" t="s">
        <v>54</v>
      </c>
      <c r="Y28" s="147" t="s">
        <v>126</v>
      </c>
      <c r="Z28" s="161">
        <f t="shared" si="0"/>
        <v>20</v>
      </c>
      <c r="AA28" s="162" t="str">
        <f t="shared" si="1"/>
        <v>P</v>
      </c>
      <c r="AB28" s="163" t="str">
        <f t="shared" si="2"/>
        <v>P</v>
      </c>
      <c r="AC28" s="158" t="str">
        <f t="shared" si="3"/>
        <v>P</v>
      </c>
      <c r="AD28" s="159" t="str">
        <f t="shared" si="4"/>
        <v>P</v>
      </c>
      <c r="AE28" s="158" t="str">
        <f t="shared" si="5"/>
        <v>P</v>
      </c>
      <c r="AF28" s="158" t="str">
        <f t="shared" si="6"/>
        <v>P</v>
      </c>
      <c r="AG28" s="164" t="str">
        <f t="shared" si="7"/>
        <v>P</v>
      </c>
      <c r="AH28" s="163" t="str">
        <f t="shared" si="8"/>
        <v>P</v>
      </c>
      <c r="AI28" s="158" t="str">
        <f t="shared" si="9"/>
        <v>P</v>
      </c>
      <c r="AJ28" s="159" t="str">
        <f t="shared" si="10"/>
        <v>P</v>
      </c>
      <c r="AK28" s="158" t="str">
        <f t="shared" si="11"/>
        <v>P</v>
      </c>
      <c r="AL28" s="158" t="str">
        <f t="shared" si="12"/>
        <v>P</v>
      </c>
      <c r="AM28" s="158" t="str">
        <f t="shared" si="13"/>
        <v>P</v>
      </c>
      <c r="AN28" s="159" t="str">
        <f t="shared" ca="1" si="14"/>
        <v>P</v>
      </c>
      <c r="AO28" s="158" t="str">
        <f t="shared" ca="1" si="15"/>
        <v>P</v>
      </c>
      <c r="AP28" s="159" t="str">
        <f t="shared" ca="1" si="16"/>
        <v>P</v>
      </c>
      <c r="AQ28" s="158" t="str">
        <f t="shared" ca="1" si="17"/>
        <v>P</v>
      </c>
      <c r="AR28" s="165" t="str">
        <f t="shared" ca="1" si="18"/>
        <v>P</v>
      </c>
      <c r="AS28" s="236" t="str">
        <f t="shared" ca="1" si="19"/>
        <v>P</v>
      </c>
      <c r="AT28" s="237" t="str">
        <f t="shared" ca="1" si="20"/>
        <v>P</v>
      </c>
      <c r="AU28" s="165" t="str">
        <f t="shared" ca="1" si="21"/>
        <v>P</v>
      </c>
      <c r="AV28" s="231" t="str">
        <f t="shared" ca="1" si="22"/>
        <v>P</v>
      </c>
      <c r="AW28" s="68" t="str">
        <f t="shared" si="23"/>
        <v>P</v>
      </c>
      <c r="AX28" s="69" t="str">
        <f t="shared" si="24"/>
        <v>P</v>
      </c>
      <c r="AY28" s="69" t="str">
        <f t="shared" ca="1" si="25"/>
        <v>P</v>
      </c>
      <c r="AZ28" s="70" t="str">
        <f t="shared" ca="1" si="26"/>
        <v>P</v>
      </c>
      <c r="BA28" s="71">
        <f t="shared" ca="1" si="27"/>
        <v>60</v>
      </c>
      <c r="BC28" s="87">
        <f t="shared" ca="1" si="28"/>
        <v>0</v>
      </c>
      <c r="BD28" s="88">
        <v>20</v>
      </c>
      <c r="BE28" s="31">
        <f t="shared" ca="1" si="29"/>
        <v>60.027999999999999</v>
      </c>
      <c r="BF28" s="32">
        <f t="shared" ca="1" si="30"/>
        <v>35</v>
      </c>
      <c r="BG28" s="31" t="str">
        <f t="shared" si="31"/>
        <v>Tredyffrin-Easttown Y</v>
      </c>
      <c r="BH28" s="33">
        <f t="shared" ca="1" si="32"/>
        <v>60</v>
      </c>
      <c r="BI28" s="31" t="str">
        <f t="shared" ca="1" si="33"/>
        <v>P</v>
      </c>
      <c r="BJ28" s="97">
        <f t="shared" ca="1" si="34"/>
        <v>20</v>
      </c>
      <c r="BK28" s="98" t="str">
        <f t="shared" ca="1" si="35"/>
        <v>Paul J. Gelinas Y</v>
      </c>
    </row>
    <row r="29" spans="2:63" x14ac:dyDescent="0.25">
      <c r="B29" s="46">
        <v>21</v>
      </c>
      <c r="C29" s="246" t="s">
        <v>84</v>
      </c>
      <c r="D29" s="47"/>
      <c r="E29" s="38"/>
      <c r="F29" s="190" t="s">
        <v>125</v>
      </c>
      <c r="G29" s="131">
        <v>0</v>
      </c>
      <c r="H29" s="49">
        <v>0</v>
      </c>
      <c r="I29" s="45">
        <v>0</v>
      </c>
      <c r="J29" s="122">
        <v>18.5</v>
      </c>
      <c r="K29" s="48">
        <v>19.998999999999999</v>
      </c>
      <c r="L29" s="111"/>
      <c r="M29" s="126"/>
      <c r="N29" s="195" t="s">
        <v>125</v>
      </c>
      <c r="O29" s="131" t="s">
        <v>126</v>
      </c>
      <c r="P29" s="107">
        <v>0</v>
      </c>
      <c r="Q29" s="45">
        <v>0</v>
      </c>
      <c r="R29" s="122">
        <v>86.6</v>
      </c>
      <c r="S29" s="111">
        <v>23.11</v>
      </c>
      <c r="T29" s="114"/>
      <c r="U29" s="114"/>
      <c r="V29" s="195" t="s">
        <v>126</v>
      </c>
      <c r="W29" s="138" t="s">
        <v>126</v>
      </c>
      <c r="X29" s="144" t="s">
        <v>54</v>
      </c>
      <c r="Y29" s="147" t="s">
        <v>126</v>
      </c>
      <c r="Z29" s="161">
        <f t="shared" si="0"/>
        <v>21</v>
      </c>
      <c r="AA29" s="162">
        <f t="shared" si="1"/>
        <v>1</v>
      </c>
      <c r="AB29" s="163">
        <f t="shared" si="2"/>
        <v>74</v>
      </c>
      <c r="AC29" s="158">
        <f t="shared" si="3"/>
        <v>40</v>
      </c>
      <c r="AD29" s="159">
        <f t="shared" si="4"/>
        <v>0</v>
      </c>
      <c r="AE29" s="158">
        <f t="shared" si="5"/>
        <v>89</v>
      </c>
      <c r="AF29" s="158" t="str">
        <f t="shared" si="6"/>
        <v>&lt;-</v>
      </c>
      <c r="AG29" s="164">
        <f t="shared" si="7"/>
        <v>1</v>
      </c>
      <c r="AH29" s="163">
        <f t="shared" si="8"/>
        <v>346.4</v>
      </c>
      <c r="AI29" s="158">
        <f t="shared" si="9"/>
        <v>46.22</v>
      </c>
      <c r="AJ29" s="159">
        <f t="shared" si="10"/>
        <v>0</v>
      </c>
      <c r="AK29" s="158">
        <f t="shared" si="11"/>
        <v>392.62</v>
      </c>
      <c r="AL29" s="158">
        <f t="shared" si="12"/>
        <v>1</v>
      </c>
      <c r="AM29" s="158">
        <f t="shared" si="13"/>
        <v>89</v>
      </c>
      <c r="AN29" s="159">
        <f t="shared" ca="1" si="14"/>
        <v>10</v>
      </c>
      <c r="AO29" s="158">
        <f t="shared" ca="1" si="15"/>
        <v>74</v>
      </c>
      <c r="AP29" s="159">
        <f t="shared" ca="1" si="16"/>
        <v>10.022879050210239</v>
      </c>
      <c r="AQ29" s="158">
        <f t="shared" ca="1" si="17"/>
        <v>10</v>
      </c>
      <c r="AR29" s="165">
        <f t="shared" ca="1" si="18"/>
        <v>40</v>
      </c>
      <c r="AS29" s="236">
        <f t="shared" ca="1" si="19"/>
        <v>10.263157894736842</v>
      </c>
      <c r="AT29" s="237">
        <f t="shared" ca="1" si="20"/>
        <v>10</v>
      </c>
      <c r="AU29" s="165">
        <f t="shared" ca="1" si="21"/>
        <v>346.4</v>
      </c>
      <c r="AV29" s="231">
        <f t="shared" ca="1" si="22"/>
        <v>10.087829614604463</v>
      </c>
      <c r="AW29" s="68">
        <f t="shared" si="23"/>
        <v>89</v>
      </c>
      <c r="AX29" s="69">
        <f t="shared" si="24"/>
        <v>1</v>
      </c>
      <c r="AY29" s="69">
        <f t="shared" ca="1" si="25"/>
        <v>0</v>
      </c>
      <c r="AZ29" s="70">
        <f t="shared" ca="1" si="26"/>
        <v>10</v>
      </c>
      <c r="BA29" s="71">
        <f t="shared" ca="1" si="27"/>
        <v>10</v>
      </c>
      <c r="BC29" s="87">
        <f t="shared" ca="1" si="28"/>
        <v>1</v>
      </c>
      <c r="BD29" s="88">
        <v>21</v>
      </c>
      <c r="BE29" s="31">
        <f t="shared" ca="1" si="29"/>
        <v>10.029</v>
      </c>
      <c r="BF29" s="32">
        <f t="shared" ca="1" si="30"/>
        <v>10</v>
      </c>
      <c r="BG29" s="31" t="str">
        <f t="shared" si="31"/>
        <v>Seton Catholic X</v>
      </c>
      <c r="BH29" s="33">
        <f t="shared" ca="1" si="32"/>
        <v>10</v>
      </c>
      <c r="BI29" s="31">
        <f t="shared" ca="1" si="33"/>
        <v>10</v>
      </c>
      <c r="BJ29" s="97">
        <f t="shared" ca="1" si="34"/>
        <v>21</v>
      </c>
      <c r="BK29" s="98" t="str">
        <f t="shared" ca="1" si="35"/>
        <v>Tredyffrin-Easttown X</v>
      </c>
    </row>
    <row r="30" spans="2:63" x14ac:dyDescent="0.25">
      <c r="B30" s="51">
        <v>22</v>
      </c>
      <c r="C30" s="247" t="s">
        <v>85</v>
      </c>
      <c r="D30" s="53"/>
      <c r="E30" s="37"/>
      <c r="F30" s="191"/>
      <c r="G30" s="132"/>
      <c r="H30" s="56"/>
      <c r="I30" s="54"/>
      <c r="J30" s="123"/>
      <c r="K30" s="55"/>
      <c r="L30" s="112"/>
      <c r="M30" s="127"/>
      <c r="N30" s="196"/>
      <c r="O30" s="132"/>
      <c r="P30" s="108"/>
      <c r="Q30" s="54"/>
      <c r="R30" s="123"/>
      <c r="S30" s="112"/>
      <c r="T30" s="115"/>
      <c r="U30" s="115"/>
      <c r="V30" s="196"/>
      <c r="W30" s="139"/>
      <c r="X30" s="145"/>
      <c r="Y30" s="148"/>
      <c r="Z30" s="166">
        <f t="shared" si="0"/>
        <v>22</v>
      </c>
      <c r="AA30" s="167" t="str">
        <f t="shared" si="1"/>
        <v>NS</v>
      </c>
      <c r="AB30" s="168" t="str">
        <f t="shared" si="2"/>
        <v>NS</v>
      </c>
      <c r="AC30" s="169" t="str">
        <f t="shared" si="3"/>
        <v>NS</v>
      </c>
      <c r="AD30" s="170" t="str">
        <f t="shared" si="4"/>
        <v>NS</v>
      </c>
      <c r="AE30" s="169" t="str">
        <f t="shared" si="5"/>
        <v>NS</v>
      </c>
      <c r="AF30" s="169" t="str">
        <f t="shared" si="6"/>
        <v>NS</v>
      </c>
      <c r="AG30" s="171" t="str">
        <f t="shared" si="7"/>
        <v>NS</v>
      </c>
      <c r="AH30" s="168" t="str">
        <f t="shared" si="8"/>
        <v>NS</v>
      </c>
      <c r="AI30" s="169" t="str">
        <f t="shared" si="9"/>
        <v>NS</v>
      </c>
      <c r="AJ30" s="170" t="str">
        <f t="shared" si="10"/>
        <v>NS</v>
      </c>
      <c r="AK30" s="169" t="str">
        <f t="shared" si="11"/>
        <v>NS</v>
      </c>
      <c r="AL30" s="169" t="str">
        <f t="shared" si="12"/>
        <v>NS</v>
      </c>
      <c r="AM30" s="169" t="str">
        <f t="shared" si="13"/>
        <v>NS</v>
      </c>
      <c r="AN30" s="170" t="str">
        <f t="shared" ca="1" si="14"/>
        <v>NS</v>
      </c>
      <c r="AO30" s="169" t="str">
        <f t="shared" ca="1" si="15"/>
        <v>NS</v>
      </c>
      <c r="AP30" s="170" t="str">
        <f t="shared" ca="1" si="16"/>
        <v>NS</v>
      </c>
      <c r="AQ30" s="169" t="str">
        <f t="shared" ca="1" si="17"/>
        <v>NS</v>
      </c>
      <c r="AR30" s="172" t="str">
        <f t="shared" ca="1" si="18"/>
        <v>NS</v>
      </c>
      <c r="AS30" s="238" t="str">
        <f t="shared" ca="1" si="19"/>
        <v>NS</v>
      </c>
      <c r="AT30" s="239" t="str">
        <f t="shared" ca="1" si="20"/>
        <v>NS</v>
      </c>
      <c r="AU30" s="172" t="str">
        <f t="shared" ca="1" si="21"/>
        <v>NS</v>
      </c>
      <c r="AV30" s="232" t="str">
        <f t="shared" ca="1" si="22"/>
        <v>NS</v>
      </c>
      <c r="AW30" s="72" t="str">
        <f t="shared" si="23"/>
        <v>NS</v>
      </c>
      <c r="AX30" s="73" t="str">
        <f t="shared" si="24"/>
        <v>NS</v>
      </c>
      <c r="AY30" s="73" t="str">
        <f t="shared" ca="1" si="25"/>
        <v>NS</v>
      </c>
      <c r="AZ30" s="74" t="str">
        <f t="shared" ca="1" si="26"/>
        <v>NS</v>
      </c>
      <c r="BA30" s="75">
        <f t="shared" ca="1" si="27"/>
        <v>61</v>
      </c>
      <c r="BC30" s="89">
        <f t="shared" ca="1" si="28"/>
        <v>0</v>
      </c>
      <c r="BD30" s="90">
        <v>22</v>
      </c>
      <c r="BE30" s="27">
        <f t="shared" ca="1" si="29"/>
        <v>61.03</v>
      </c>
      <c r="BF30" s="28">
        <f t="shared" ca="1" si="30"/>
        <v>47</v>
      </c>
      <c r="BG30" s="27" t="str">
        <f t="shared" si="31"/>
        <v>Seton Catholic Y</v>
      </c>
      <c r="BH30" s="29">
        <f t="shared" ca="1" si="32"/>
        <v>61</v>
      </c>
      <c r="BI30" s="27" t="str">
        <f t="shared" ca="1" si="33"/>
        <v>NS</v>
      </c>
      <c r="BJ30" s="99">
        <f t="shared" ca="1" si="34"/>
        <v>22</v>
      </c>
      <c r="BK30" s="100" t="str">
        <f t="shared" ca="1" si="35"/>
        <v>Welsh Valley X</v>
      </c>
    </row>
    <row r="31" spans="2:63" x14ac:dyDescent="0.25">
      <c r="B31" s="51">
        <v>23</v>
      </c>
      <c r="C31" s="247" t="s">
        <v>86</v>
      </c>
      <c r="D31" s="53"/>
      <c r="E31" s="37"/>
      <c r="F31" s="191"/>
      <c r="G31" s="132"/>
      <c r="H31" s="56"/>
      <c r="I31" s="54"/>
      <c r="J31" s="123"/>
      <c r="K31" s="55"/>
      <c r="L31" s="112"/>
      <c r="M31" s="127"/>
      <c r="N31" s="196"/>
      <c r="O31" s="132"/>
      <c r="P31" s="108"/>
      <c r="Q31" s="54"/>
      <c r="R31" s="123"/>
      <c r="S31" s="112"/>
      <c r="T31" s="115"/>
      <c r="U31" s="115"/>
      <c r="V31" s="196"/>
      <c r="W31" s="139"/>
      <c r="X31" s="145"/>
      <c r="Y31" s="148"/>
      <c r="Z31" s="166">
        <f t="shared" si="0"/>
        <v>23</v>
      </c>
      <c r="AA31" s="167" t="str">
        <f t="shared" si="1"/>
        <v>NS</v>
      </c>
      <c r="AB31" s="168" t="str">
        <f t="shared" si="2"/>
        <v>NS</v>
      </c>
      <c r="AC31" s="169" t="str">
        <f t="shared" si="3"/>
        <v>NS</v>
      </c>
      <c r="AD31" s="170" t="str">
        <f t="shared" si="4"/>
        <v>NS</v>
      </c>
      <c r="AE31" s="169" t="str">
        <f t="shared" si="5"/>
        <v>NS</v>
      </c>
      <c r="AF31" s="169" t="str">
        <f t="shared" si="6"/>
        <v>NS</v>
      </c>
      <c r="AG31" s="171" t="str">
        <f t="shared" si="7"/>
        <v>NS</v>
      </c>
      <c r="AH31" s="168" t="str">
        <f t="shared" si="8"/>
        <v>NS</v>
      </c>
      <c r="AI31" s="169" t="str">
        <f t="shared" si="9"/>
        <v>NS</v>
      </c>
      <c r="AJ31" s="170" t="str">
        <f t="shared" si="10"/>
        <v>NS</v>
      </c>
      <c r="AK31" s="169" t="str">
        <f t="shared" si="11"/>
        <v>NS</v>
      </c>
      <c r="AL31" s="169" t="str">
        <f t="shared" si="12"/>
        <v>NS</v>
      </c>
      <c r="AM31" s="169" t="str">
        <f t="shared" si="13"/>
        <v>NS</v>
      </c>
      <c r="AN31" s="170" t="str">
        <f t="shared" ca="1" si="14"/>
        <v>NS</v>
      </c>
      <c r="AO31" s="169" t="str">
        <f t="shared" ca="1" si="15"/>
        <v>NS</v>
      </c>
      <c r="AP31" s="170" t="str">
        <f t="shared" ca="1" si="16"/>
        <v>NS</v>
      </c>
      <c r="AQ31" s="169" t="str">
        <f t="shared" ca="1" si="17"/>
        <v>NS</v>
      </c>
      <c r="AR31" s="172" t="str">
        <f t="shared" ca="1" si="18"/>
        <v>NS</v>
      </c>
      <c r="AS31" s="238" t="str">
        <f t="shared" ca="1" si="19"/>
        <v>NS</v>
      </c>
      <c r="AT31" s="239" t="str">
        <f t="shared" ca="1" si="20"/>
        <v>NS</v>
      </c>
      <c r="AU31" s="172" t="str">
        <f t="shared" ca="1" si="21"/>
        <v>NS</v>
      </c>
      <c r="AV31" s="232" t="str">
        <f t="shared" ca="1" si="22"/>
        <v>NS</v>
      </c>
      <c r="AW31" s="72" t="str">
        <f t="shared" si="23"/>
        <v>NS</v>
      </c>
      <c r="AX31" s="73" t="str">
        <f t="shared" si="24"/>
        <v>NS</v>
      </c>
      <c r="AY31" s="73" t="str">
        <f t="shared" ca="1" si="25"/>
        <v>NS</v>
      </c>
      <c r="AZ31" s="74" t="str">
        <f t="shared" ca="1" si="26"/>
        <v>NS</v>
      </c>
      <c r="BA31" s="75">
        <f t="shared" ca="1" si="27"/>
        <v>61</v>
      </c>
      <c r="BC31" s="89">
        <f t="shared" ca="1" si="28"/>
        <v>0</v>
      </c>
      <c r="BD31" s="90">
        <v>23</v>
      </c>
      <c r="BE31" s="27">
        <f t="shared" ca="1" si="29"/>
        <v>61.030999999999999</v>
      </c>
      <c r="BF31" s="28">
        <f t="shared" ca="1" si="30"/>
        <v>48</v>
      </c>
      <c r="BG31" s="27" t="str">
        <f t="shared" si="31"/>
        <v>Kutztown</v>
      </c>
      <c r="BH31" s="29">
        <f t="shared" ca="1" si="32"/>
        <v>61</v>
      </c>
      <c r="BI31" s="27" t="str">
        <f t="shared" ca="1" si="33"/>
        <v>NS</v>
      </c>
      <c r="BJ31" s="99">
        <f t="shared" ca="1" si="34"/>
        <v>23</v>
      </c>
      <c r="BK31" s="100" t="str">
        <f t="shared" ca="1" si="35"/>
        <v>Garnet Valley</v>
      </c>
    </row>
    <row r="32" spans="2:63" x14ac:dyDescent="0.25">
      <c r="B32" s="51">
        <v>24</v>
      </c>
      <c r="C32" s="247" t="s">
        <v>87</v>
      </c>
      <c r="D32" s="53"/>
      <c r="E32" s="37"/>
      <c r="F32" s="191"/>
      <c r="G32" s="132"/>
      <c r="H32" s="56"/>
      <c r="I32" s="54"/>
      <c r="J32" s="123"/>
      <c r="K32" s="55"/>
      <c r="L32" s="112"/>
      <c r="M32" s="127"/>
      <c r="N32" s="196"/>
      <c r="O32" s="132"/>
      <c r="P32" s="108"/>
      <c r="Q32" s="54"/>
      <c r="R32" s="123"/>
      <c r="S32" s="112"/>
      <c r="T32" s="115"/>
      <c r="U32" s="115"/>
      <c r="V32" s="196"/>
      <c r="W32" s="139"/>
      <c r="X32" s="145"/>
      <c r="Y32" s="148"/>
      <c r="Z32" s="166">
        <f t="shared" si="0"/>
        <v>24</v>
      </c>
      <c r="AA32" s="167" t="str">
        <f t="shared" si="1"/>
        <v>NS</v>
      </c>
      <c r="AB32" s="168" t="str">
        <f t="shared" si="2"/>
        <v>NS</v>
      </c>
      <c r="AC32" s="169" t="str">
        <f t="shared" si="3"/>
        <v>NS</v>
      </c>
      <c r="AD32" s="170" t="str">
        <f t="shared" si="4"/>
        <v>NS</v>
      </c>
      <c r="AE32" s="169" t="str">
        <f t="shared" si="5"/>
        <v>NS</v>
      </c>
      <c r="AF32" s="169" t="str">
        <f t="shared" si="6"/>
        <v>NS</v>
      </c>
      <c r="AG32" s="171" t="str">
        <f t="shared" si="7"/>
        <v>NS</v>
      </c>
      <c r="AH32" s="168" t="str">
        <f t="shared" si="8"/>
        <v>NS</v>
      </c>
      <c r="AI32" s="169" t="str">
        <f t="shared" si="9"/>
        <v>NS</v>
      </c>
      <c r="AJ32" s="170" t="str">
        <f t="shared" si="10"/>
        <v>NS</v>
      </c>
      <c r="AK32" s="169" t="str">
        <f t="shared" si="11"/>
        <v>NS</v>
      </c>
      <c r="AL32" s="169" t="str">
        <f t="shared" si="12"/>
        <v>NS</v>
      </c>
      <c r="AM32" s="169" t="str">
        <f t="shared" si="13"/>
        <v>NS</v>
      </c>
      <c r="AN32" s="170" t="str">
        <f t="shared" ca="1" si="14"/>
        <v>NS</v>
      </c>
      <c r="AO32" s="169" t="str">
        <f t="shared" ca="1" si="15"/>
        <v>NS</v>
      </c>
      <c r="AP32" s="170" t="str">
        <f t="shared" ca="1" si="16"/>
        <v>NS</v>
      </c>
      <c r="AQ32" s="169" t="str">
        <f t="shared" ca="1" si="17"/>
        <v>NS</v>
      </c>
      <c r="AR32" s="172" t="str">
        <f t="shared" ca="1" si="18"/>
        <v>NS</v>
      </c>
      <c r="AS32" s="238" t="str">
        <f t="shared" ca="1" si="19"/>
        <v>NS</v>
      </c>
      <c r="AT32" s="239" t="str">
        <f t="shared" ca="1" si="20"/>
        <v>NS</v>
      </c>
      <c r="AU32" s="172" t="str">
        <f t="shared" ca="1" si="21"/>
        <v>NS</v>
      </c>
      <c r="AV32" s="232" t="str">
        <f t="shared" ca="1" si="22"/>
        <v>NS</v>
      </c>
      <c r="AW32" s="72" t="str">
        <f t="shared" si="23"/>
        <v>NS</v>
      </c>
      <c r="AX32" s="73" t="str">
        <f t="shared" si="24"/>
        <v>NS</v>
      </c>
      <c r="AY32" s="73" t="str">
        <f t="shared" ca="1" si="25"/>
        <v>NS</v>
      </c>
      <c r="AZ32" s="74" t="str">
        <f t="shared" ca="1" si="26"/>
        <v>NS</v>
      </c>
      <c r="BA32" s="75">
        <f t="shared" ca="1" si="27"/>
        <v>61</v>
      </c>
      <c r="BC32" s="89">
        <f t="shared" ca="1" si="28"/>
        <v>0</v>
      </c>
      <c r="BD32" s="90">
        <v>24</v>
      </c>
      <c r="BE32" s="27">
        <f t="shared" ca="1" si="29"/>
        <v>61.031999999999996</v>
      </c>
      <c r="BF32" s="28">
        <f t="shared" ca="1" si="30"/>
        <v>49</v>
      </c>
      <c r="BG32" s="27" t="str">
        <f t="shared" si="31"/>
        <v>Northley</v>
      </c>
      <c r="BH32" s="29">
        <f t="shared" ca="1" si="32"/>
        <v>61</v>
      </c>
      <c r="BI32" s="27" t="str">
        <f t="shared" ca="1" si="33"/>
        <v>NS</v>
      </c>
      <c r="BJ32" s="99">
        <f t="shared" ca="1" si="34"/>
        <v>24</v>
      </c>
      <c r="BK32" s="100" t="str">
        <f t="shared" ca="1" si="35"/>
        <v>North Bethesda X</v>
      </c>
    </row>
    <row r="33" spans="2:63" x14ac:dyDescent="0.25">
      <c r="B33" s="46">
        <v>25</v>
      </c>
      <c r="C33" s="246" t="s">
        <v>88</v>
      </c>
      <c r="D33" s="47"/>
      <c r="E33" s="38"/>
      <c r="F33" s="190"/>
      <c r="G33" s="131"/>
      <c r="H33" s="49"/>
      <c r="I33" s="45"/>
      <c r="J33" s="122"/>
      <c r="K33" s="48"/>
      <c r="L33" s="111"/>
      <c r="M33" s="126"/>
      <c r="N33" s="195"/>
      <c r="O33" s="131" t="s">
        <v>125</v>
      </c>
      <c r="P33" s="107"/>
      <c r="Q33" s="45"/>
      <c r="R33" s="122"/>
      <c r="S33" s="111"/>
      <c r="T33" s="114"/>
      <c r="U33" s="114"/>
      <c r="V33" s="195"/>
      <c r="W33" s="138" t="s">
        <v>125</v>
      </c>
      <c r="X33" s="144"/>
      <c r="Y33" s="147"/>
      <c r="Z33" s="161">
        <f t="shared" si="0"/>
        <v>25</v>
      </c>
      <c r="AA33" s="162" t="str">
        <f t="shared" si="1"/>
        <v>P</v>
      </c>
      <c r="AB33" s="163" t="str">
        <f t="shared" si="2"/>
        <v>P</v>
      </c>
      <c r="AC33" s="158" t="str">
        <f t="shared" si="3"/>
        <v>P</v>
      </c>
      <c r="AD33" s="159" t="str">
        <f t="shared" si="4"/>
        <v>P</v>
      </c>
      <c r="AE33" s="158" t="str">
        <f t="shared" si="5"/>
        <v>P</v>
      </c>
      <c r="AF33" s="158" t="str">
        <f t="shared" si="6"/>
        <v>P</v>
      </c>
      <c r="AG33" s="164" t="str">
        <f t="shared" si="7"/>
        <v>P</v>
      </c>
      <c r="AH33" s="163" t="str">
        <f t="shared" si="8"/>
        <v>P</v>
      </c>
      <c r="AI33" s="158" t="str">
        <f t="shared" si="9"/>
        <v>P</v>
      </c>
      <c r="AJ33" s="159" t="str">
        <f t="shared" si="10"/>
        <v>P</v>
      </c>
      <c r="AK33" s="158" t="str">
        <f t="shared" si="11"/>
        <v>P</v>
      </c>
      <c r="AL33" s="158" t="str">
        <f t="shared" si="12"/>
        <v>P</v>
      </c>
      <c r="AM33" s="158" t="str">
        <f t="shared" si="13"/>
        <v>P</v>
      </c>
      <c r="AN33" s="159" t="str">
        <f t="shared" ca="1" si="14"/>
        <v>P</v>
      </c>
      <c r="AO33" s="158" t="str">
        <f t="shared" ca="1" si="15"/>
        <v>P</v>
      </c>
      <c r="AP33" s="159" t="str">
        <f t="shared" ca="1" si="16"/>
        <v>P</v>
      </c>
      <c r="AQ33" s="158" t="str">
        <f t="shared" ca="1" si="17"/>
        <v>P</v>
      </c>
      <c r="AR33" s="165" t="str">
        <f t="shared" ca="1" si="18"/>
        <v>P</v>
      </c>
      <c r="AS33" s="236" t="str">
        <f t="shared" ca="1" si="19"/>
        <v>P</v>
      </c>
      <c r="AT33" s="237" t="str">
        <f t="shared" ca="1" si="20"/>
        <v>P</v>
      </c>
      <c r="AU33" s="165" t="str">
        <f t="shared" ca="1" si="21"/>
        <v>P</v>
      </c>
      <c r="AV33" s="231" t="str">
        <f t="shared" ca="1" si="22"/>
        <v>P</v>
      </c>
      <c r="AW33" s="68" t="str">
        <f t="shared" si="23"/>
        <v>P</v>
      </c>
      <c r="AX33" s="69" t="str">
        <f t="shared" si="24"/>
        <v>P</v>
      </c>
      <c r="AY33" s="69" t="str">
        <f t="shared" ca="1" si="25"/>
        <v>P</v>
      </c>
      <c r="AZ33" s="70" t="str">
        <f t="shared" ca="1" si="26"/>
        <v>P</v>
      </c>
      <c r="BA33" s="71">
        <f t="shared" ca="1" si="27"/>
        <v>60</v>
      </c>
      <c r="BC33" s="87">
        <f t="shared" ca="1" si="28"/>
        <v>0</v>
      </c>
      <c r="BD33" s="88">
        <v>25</v>
      </c>
      <c r="BE33" s="31">
        <f t="shared" ca="1" si="29"/>
        <v>60.033000000000001</v>
      </c>
      <c r="BF33" s="32">
        <f t="shared" ca="1" si="30"/>
        <v>36</v>
      </c>
      <c r="BG33" s="31" t="str">
        <f t="shared" si="31"/>
        <v>Bedford X</v>
      </c>
      <c r="BH33" s="33">
        <f t="shared" ca="1" si="32"/>
        <v>60</v>
      </c>
      <c r="BI33" s="31" t="str">
        <f t="shared" ca="1" si="33"/>
        <v>P</v>
      </c>
      <c r="BJ33" s="97">
        <f t="shared" ca="1" si="34"/>
        <v>25</v>
      </c>
      <c r="BK33" s="98" t="str">
        <f t="shared" ca="1" si="35"/>
        <v>Pond Road</v>
      </c>
    </row>
    <row r="34" spans="2:63" x14ac:dyDescent="0.25">
      <c r="B34" s="46">
        <v>26</v>
      </c>
      <c r="C34" s="246" t="s">
        <v>89</v>
      </c>
      <c r="D34" s="47"/>
      <c r="E34" s="38"/>
      <c r="F34" s="190"/>
      <c r="G34" s="131"/>
      <c r="H34" s="49"/>
      <c r="I34" s="45"/>
      <c r="J34" s="122"/>
      <c r="K34" s="48"/>
      <c r="L34" s="111"/>
      <c r="M34" s="126"/>
      <c r="N34" s="195"/>
      <c r="O34" s="131"/>
      <c r="P34" s="107"/>
      <c r="Q34" s="45"/>
      <c r="R34" s="122"/>
      <c r="S34" s="111"/>
      <c r="T34" s="114"/>
      <c r="U34" s="114"/>
      <c r="V34" s="195"/>
      <c r="W34" s="138"/>
      <c r="X34" s="144"/>
      <c r="Y34" s="147"/>
      <c r="Z34" s="161">
        <f t="shared" si="0"/>
        <v>26</v>
      </c>
      <c r="AA34" s="162" t="str">
        <f t="shared" si="1"/>
        <v>NS</v>
      </c>
      <c r="AB34" s="163" t="str">
        <f t="shared" si="2"/>
        <v>NS</v>
      </c>
      <c r="AC34" s="158" t="str">
        <f t="shared" si="3"/>
        <v>NS</v>
      </c>
      <c r="AD34" s="159" t="str">
        <f t="shared" si="4"/>
        <v>NS</v>
      </c>
      <c r="AE34" s="158" t="str">
        <f t="shared" si="5"/>
        <v>NS</v>
      </c>
      <c r="AF34" s="158" t="str">
        <f t="shared" si="6"/>
        <v>NS</v>
      </c>
      <c r="AG34" s="164" t="str">
        <f t="shared" si="7"/>
        <v>NS</v>
      </c>
      <c r="AH34" s="163" t="str">
        <f t="shared" si="8"/>
        <v>NS</v>
      </c>
      <c r="AI34" s="158" t="str">
        <f t="shared" si="9"/>
        <v>NS</v>
      </c>
      <c r="AJ34" s="159" t="str">
        <f t="shared" si="10"/>
        <v>NS</v>
      </c>
      <c r="AK34" s="158" t="str">
        <f t="shared" si="11"/>
        <v>NS</v>
      </c>
      <c r="AL34" s="158" t="str">
        <f t="shared" si="12"/>
        <v>NS</v>
      </c>
      <c r="AM34" s="158" t="str">
        <f t="shared" si="13"/>
        <v>NS</v>
      </c>
      <c r="AN34" s="159" t="str">
        <f t="shared" ca="1" si="14"/>
        <v>NS</v>
      </c>
      <c r="AO34" s="158" t="str">
        <f t="shared" ca="1" si="15"/>
        <v>NS</v>
      </c>
      <c r="AP34" s="159" t="str">
        <f t="shared" ca="1" si="16"/>
        <v>NS</v>
      </c>
      <c r="AQ34" s="158" t="str">
        <f t="shared" ca="1" si="17"/>
        <v>NS</v>
      </c>
      <c r="AR34" s="165" t="str">
        <f t="shared" ca="1" si="18"/>
        <v>NS</v>
      </c>
      <c r="AS34" s="236" t="str">
        <f t="shared" ca="1" si="19"/>
        <v>NS</v>
      </c>
      <c r="AT34" s="237" t="str">
        <f t="shared" ca="1" si="20"/>
        <v>NS</v>
      </c>
      <c r="AU34" s="165" t="str">
        <f t="shared" ca="1" si="21"/>
        <v>NS</v>
      </c>
      <c r="AV34" s="231" t="str">
        <f t="shared" ca="1" si="22"/>
        <v>NS</v>
      </c>
      <c r="AW34" s="68" t="str">
        <f t="shared" si="23"/>
        <v>NS</v>
      </c>
      <c r="AX34" s="69" t="str">
        <f t="shared" si="24"/>
        <v>NS</v>
      </c>
      <c r="AY34" s="69" t="str">
        <f t="shared" ca="1" si="25"/>
        <v>NS</v>
      </c>
      <c r="AZ34" s="70" t="str">
        <f t="shared" ca="1" si="26"/>
        <v>NS</v>
      </c>
      <c r="BA34" s="71">
        <f t="shared" ca="1" si="27"/>
        <v>61</v>
      </c>
      <c r="BC34" s="87">
        <f t="shared" ca="1" si="28"/>
        <v>0</v>
      </c>
      <c r="BD34" s="88">
        <v>26</v>
      </c>
      <c r="BE34" s="31">
        <f t="shared" ca="1" si="29"/>
        <v>61.033999999999999</v>
      </c>
      <c r="BF34" s="32">
        <f t="shared" ca="1" si="30"/>
        <v>50</v>
      </c>
      <c r="BG34" s="31" t="str">
        <f t="shared" si="31"/>
        <v>Bedford Y</v>
      </c>
      <c r="BH34" s="33">
        <f t="shared" ca="1" si="32"/>
        <v>61</v>
      </c>
      <c r="BI34" s="31" t="str">
        <f t="shared" ca="1" si="33"/>
        <v>NS</v>
      </c>
      <c r="BJ34" s="97">
        <f t="shared" ca="1" si="34"/>
        <v>26</v>
      </c>
      <c r="BK34" s="98" t="str">
        <f t="shared" ca="1" si="35"/>
        <v>St. Ann X</v>
      </c>
    </row>
    <row r="35" spans="2:63" x14ac:dyDescent="0.25">
      <c r="B35" s="46">
        <v>27</v>
      </c>
      <c r="C35" s="246" t="s">
        <v>90</v>
      </c>
      <c r="D35" s="47"/>
      <c r="E35" s="38"/>
      <c r="F35" s="190" t="s">
        <v>125</v>
      </c>
      <c r="G35" s="131">
        <v>0</v>
      </c>
      <c r="H35" s="49">
        <v>0</v>
      </c>
      <c r="I35" s="45">
        <v>0</v>
      </c>
      <c r="J35" s="122">
        <v>53.4</v>
      </c>
      <c r="K35" s="48">
        <v>6.8739999999999997</v>
      </c>
      <c r="L35" s="111"/>
      <c r="M35" s="126"/>
      <c r="N35" s="195" t="s">
        <v>126</v>
      </c>
      <c r="O35" s="131" t="s">
        <v>126</v>
      </c>
      <c r="P35" s="107">
        <v>0</v>
      </c>
      <c r="Q35" s="45">
        <v>0</v>
      </c>
      <c r="R35" s="122">
        <v>18.8</v>
      </c>
      <c r="S35" s="111">
        <v>6.9420000000000002</v>
      </c>
      <c r="T35" s="114"/>
      <c r="U35" s="114"/>
      <c r="V35" s="195" t="s">
        <v>126</v>
      </c>
      <c r="W35" s="138" t="s">
        <v>126</v>
      </c>
      <c r="X35" s="144" t="s">
        <v>54</v>
      </c>
      <c r="Y35" s="147" t="s">
        <v>126</v>
      </c>
      <c r="Z35" s="161">
        <f t="shared" si="0"/>
        <v>27</v>
      </c>
      <c r="AA35" s="162">
        <f t="shared" si="1"/>
        <v>1</v>
      </c>
      <c r="AB35" s="163">
        <f t="shared" si="2"/>
        <v>213.6</v>
      </c>
      <c r="AC35" s="158">
        <f t="shared" si="3"/>
        <v>13.74</v>
      </c>
      <c r="AD35" s="159">
        <f t="shared" si="4"/>
        <v>0</v>
      </c>
      <c r="AE35" s="158">
        <f t="shared" si="5"/>
        <v>227.34</v>
      </c>
      <c r="AF35" s="158" t="str">
        <f t="shared" si="6"/>
        <v>-&gt;</v>
      </c>
      <c r="AG35" s="164">
        <f t="shared" si="7"/>
        <v>1</v>
      </c>
      <c r="AH35" s="163">
        <f t="shared" si="8"/>
        <v>75.2</v>
      </c>
      <c r="AI35" s="158">
        <f t="shared" si="9"/>
        <v>13.88</v>
      </c>
      <c r="AJ35" s="159">
        <f t="shared" si="10"/>
        <v>0</v>
      </c>
      <c r="AK35" s="158">
        <f t="shared" si="11"/>
        <v>89.08</v>
      </c>
      <c r="AL35" s="158">
        <f t="shared" si="12"/>
        <v>1</v>
      </c>
      <c r="AM35" s="158">
        <f t="shared" si="13"/>
        <v>89.08</v>
      </c>
      <c r="AN35" s="159">
        <f t="shared" ca="1" si="14"/>
        <v>11</v>
      </c>
      <c r="AO35" s="158">
        <f t="shared" ca="1" si="15"/>
        <v>75.2</v>
      </c>
      <c r="AP35" s="159">
        <f t="shared" ca="1" si="16"/>
        <v>11.02325006183527</v>
      </c>
      <c r="AQ35" s="158">
        <f t="shared" ca="1" si="17"/>
        <v>11</v>
      </c>
      <c r="AR35" s="165">
        <f t="shared" ca="1" si="18"/>
        <v>13.88</v>
      </c>
      <c r="AS35" s="236">
        <f t="shared" ca="1" si="19"/>
        <v>11.091315789473684</v>
      </c>
      <c r="AT35" s="237">
        <f t="shared" ca="1" si="20"/>
        <v>11</v>
      </c>
      <c r="AU35" s="165">
        <f t="shared" ca="1" si="21"/>
        <v>11</v>
      </c>
      <c r="AV35" s="231">
        <f t="shared" ca="1" si="22"/>
        <v>11.002789046653144</v>
      </c>
      <c r="AW35" s="68">
        <f t="shared" si="23"/>
        <v>89.08</v>
      </c>
      <c r="AX35" s="69">
        <f t="shared" si="24"/>
        <v>1</v>
      </c>
      <c r="AY35" s="69">
        <f t="shared" ca="1" si="25"/>
        <v>0</v>
      </c>
      <c r="AZ35" s="70">
        <f t="shared" ca="1" si="26"/>
        <v>11</v>
      </c>
      <c r="BA35" s="71">
        <f t="shared" ca="1" si="27"/>
        <v>11</v>
      </c>
      <c r="BC35" s="87">
        <f t="shared" ca="1" si="28"/>
        <v>1</v>
      </c>
      <c r="BD35" s="88">
        <v>27</v>
      </c>
      <c r="BE35" s="31">
        <f t="shared" ca="1" si="29"/>
        <v>11.035</v>
      </c>
      <c r="BF35" s="32">
        <f t="shared" ca="1" si="30"/>
        <v>11</v>
      </c>
      <c r="BG35" s="31" t="str">
        <f t="shared" si="31"/>
        <v>Paul J. Gelinas X</v>
      </c>
      <c r="BH35" s="33">
        <f t="shared" ca="1" si="32"/>
        <v>11</v>
      </c>
      <c r="BI35" s="31">
        <f t="shared" ca="1" si="33"/>
        <v>11</v>
      </c>
      <c r="BJ35" s="97">
        <f t="shared" ca="1" si="34"/>
        <v>27</v>
      </c>
      <c r="BK35" s="98" t="str">
        <f t="shared" ca="1" si="35"/>
        <v>J.R. Fugett Y</v>
      </c>
    </row>
    <row r="36" spans="2:63" x14ac:dyDescent="0.25">
      <c r="B36" s="51">
        <v>28</v>
      </c>
      <c r="C36" s="247" t="s">
        <v>91</v>
      </c>
      <c r="D36" s="53"/>
      <c r="E36" s="37"/>
      <c r="F36" s="191" t="s">
        <v>125</v>
      </c>
      <c r="G36" s="132">
        <v>0</v>
      </c>
      <c r="H36" s="56">
        <v>0</v>
      </c>
      <c r="I36" s="54">
        <v>0</v>
      </c>
      <c r="J36" s="123">
        <v>74.8</v>
      </c>
      <c r="K36" s="55">
        <v>11.272</v>
      </c>
      <c r="L36" s="112"/>
      <c r="M36" s="127"/>
      <c r="N36" s="196" t="s">
        <v>126</v>
      </c>
      <c r="O36" s="132" t="s">
        <v>126</v>
      </c>
      <c r="P36" s="108">
        <v>0</v>
      </c>
      <c r="Q36" s="54">
        <v>1</v>
      </c>
      <c r="R36" s="123"/>
      <c r="S36" s="112"/>
      <c r="T36" s="115"/>
      <c r="U36" s="115"/>
      <c r="V36" s="196"/>
      <c r="W36" s="139" t="s">
        <v>125</v>
      </c>
      <c r="X36" s="145" t="s">
        <v>54</v>
      </c>
      <c r="Y36" s="148" t="s">
        <v>126</v>
      </c>
      <c r="Z36" s="166">
        <f t="shared" si="0"/>
        <v>28</v>
      </c>
      <c r="AA36" s="167">
        <f t="shared" si="1"/>
        <v>1</v>
      </c>
      <c r="AB36" s="168">
        <f t="shared" si="2"/>
        <v>299.2</v>
      </c>
      <c r="AC36" s="169">
        <f t="shared" si="3"/>
        <v>22.54</v>
      </c>
      <c r="AD36" s="170">
        <f t="shared" si="4"/>
        <v>0</v>
      </c>
      <c r="AE36" s="169">
        <f t="shared" si="5"/>
        <v>321.74</v>
      </c>
      <c r="AF36" s="169" t="str">
        <f t="shared" si="6"/>
        <v>&lt;-</v>
      </c>
      <c r="AG36" s="171" t="str">
        <f t="shared" si="7"/>
        <v>P</v>
      </c>
      <c r="AH36" s="168" t="str">
        <f t="shared" si="8"/>
        <v>P</v>
      </c>
      <c r="AI36" s="169" t="str">
        <f t="shared" si="9"/>
        <v>P</v>
      </c>
      <c r="AJ36" s="170" t="str">
        <f t="shared" si="10"/>
        <v>P</v>
      </c>
      <c r="AK36" s="169" t="str">
        <f t="shared" si="11"/>
        <v>P</v>
      </c>
      <c r="AL36" s="169">
        <f t="shared" si="12"/>
        <v>1</v>
      </c>
      <c r="AM36" s="169">
        <f t="shared" si="13"/>
        <v>321.74</v>
      </c>
      <c r="AN36" s="170">
        <f t="shared" ca="1" si="14"/>
        <v>20</v>
      </c>
      <c r="AO36" s="169">
        <f t="shared" ca="1" si="15"/>
        <v>299.2</v>
      </c>
      <c r="AP36" s="170">
        <f t="shared" ca="1" si="16"/>
        <v>20.092505565174374</v>
      </c>
      <c r="AQ36" s="169">
        <f t="shared" ca="1" si="17"/>
        <v>20</v>
      </c>
      <c r="AR36" s="172">
        <f t="shared" ca="1" si="18"/>
        <v>22.54</v>
      </c>
      <c r="AS36" s="238">
        <f t="shared" ca="1" si="19"/>
        <v>20.148289473684212</v>
      </c>
      <c r="AT36" s="239">
        <f t="shared" ca="1" si="20"/>
        <v>20</v>
      </c>
      <c r="AU36" s="172" t="str">
        <f t="shared" ca="1" si="21"/>
        <v>P</v>
      </c>
      <c r="AV36" s="232">
        <f t="shared" ca="1" si="22"/>
        <v>20.6</v>
      </c>
      <c r="AW36" s="72">
        <f t="shared" si="23"/>
        <v>321.74</v>
      </c>
      <c r="AX36" s="73">
        <f t="shared" si="24"/>
        <v>1</v>
      </c>
      <c r="AY36" s="73">
        <f t="shared" ca="1" si="25"/>
        <v>0</v>
      </c>
      <c r="AZ36" s="74">
        <f t="shared" ca="1" si="26"/>
        <v>20</v>
      </c>
      <c r="BA36" s="75">
        <f t="shared" ca="1" si="27"/>
        <v>20</v>
      </c>
      <c r="BC36" s="89">
        <f t="shared" ca="1" si="28"/>
        <v>1</v>
      </c>
      <c r="BD36" s="90">
        <v>28</v>
      </c>
      <c r="BE36" s="27">
        <f t="shared" ca="1" si="29"/>
        <v>20.036000000000001</v>
      </c>
      <c r="BF36" s="28">
        <f t="shared" ca="1" si="30"/>
        <v>20</v>
      </c>
      <c r="BG36" s="27" t="str">
        <f t="shared" si="31"/>
        <v>Paul J. Gelinas Y</v>
      </c>
      <c r="BH36" s="29">
        <f t="shared" ca="1" si="32"/>
        <v>20</v>
      </c>
      <c r="BI36" s="27">
        <f t="shared" ca="1" si="33"/>
        <v>20</v>
      </c>
      <c r="BJ36" s="99">
        <f t="shared" ca="1" si="34"/>
        <v>28</v>
      </c>
      <c r="BK36" s="100" t="str">
        <f t="shared" ca="1" si="35"/>
        <v>C.J. Hooker X</v>
      </c>
    </row>
    <row r="37" spans="2:63" x14ac:dyDescent="0.25">
      <c r="B37" s="51">
        <v>29</v>
      </c>
      <c r="C37" s="247" t="s">
        <v>92</v>
      </c>
      <c r="D37" s="53"/>
      <c r="E37" s="37"/>
      <c r="F37" s="191" t="s">
        <v>125</v>
      </c>
      <c r="G37" s="132">
        <v>0</v>
      </c>
      <c r="H37" s="56">
        <v>0</v>
      </c>
      <c r="I37" s="54">
        <v>0</v>
      </c>
      <c r="J37" s="123">
        <v>470</v>
      </c>
      <c r="K37" s="55">
        <v>19.603999999999999</v>
      </c>
      <c r="L37" s="112"/>
      <c r="M37" s="127"/>
      <c r="N37" s="196" t="s">
        <v>126</v>
      </c>
      <c r="O37" s="132" t="s">
        <v>126</v>
      </c>
      <c r="P37" s="108">
        <v>0</v>
      </c>
      <c r="Q37" s="54">
        <v>0</v>
      </c>
      <c r="R37" s="123">
        <v>272.2</v>
      </c>
      <c r="S37" s="112">
        <v>19.556999999999999</v>
      </c>
      <c r="T37" s="115"/>
      <c r="U37" s="115"/>
      <c r="V37" s="196" t="s">
        <v>126</v>
      </c>
      <c r="W37" s="139" t="s">
        <v>126</v>
      </c>
      <c r="X37" s="145" t="s">
        <v>54</v>
      </c>
      <c r="Y37" s="148" t="s">
        <v>126</v>
      </c>
      <c r="Z37" s="166">
        <f t="shared" si="0"/>
        <v>29</v>
      </c>
      <c r="AA37" s="167">
        <f t="shared" si="1"/>
        <v>1</v>
      </c>
      <c r="AB37" s="168">
        <f t="shared" si="2"/>
        <v>1880</v>
      </c>
      <c r="AC37" s="169">
        <f t="shared" si="3"/>
        <v>39.200000000000003</v>
      </c>
      <c r="AD37" s="170">
        <f t="shared" si="4"/>
        <v>0</v>
      </c>
      <c r="AE37" s="169">
        <f t="shared" si="5"/>
        <v>1919.2</v>
      </c>
      <c r="AF37" s="169" t="str">
        <f t="shared" si="6"/>
        <v>-&gt;</v>
      </c>
      <c r="AG37" s="171">
        <f t="shared" si="7"/>
        <v>1</v>
      </c>
      <c r="AH37" s="168">
        <f t="shared" si="8"/>
        <v>1088.8</v>
      </c>
      <c r="AI37" s="169">
        <f t="shared" si="9"/>
        <v>39.119999999999997</v>
      </c>
      <c r="AJ37" s="170">
        <f t="shared" si="10"/>
        <v>0</v>
      </c>
      <c r="AK37" s="169">
        <f t="shared" si="11"/>
        <v>1127.9199999999998</v>
      </c>
      <c r="AL37" s="169">
        <f t="shared" si="12"/>
        <v>1</v>
      </c>
      <c r="AM37" s="169">
        <f t="shared" si="13"/>
        <v>1127.9199999999998</v>
      </c>
      <c r="AN37" s="170">
        <f t="shared" ca="1" si="14"/>
        <v>26</v>
      </c>
      <c r="AO37" s="169">
        <f t="shared" ca="1" si="15"/>
        <v>1088.8</v>
      </c>
      <c r="AP37" s="170">
        <f t="shared" ca="1" si="16"/>
        <v>26.336631214444719</v>
      </c>
      <c r="AQ37" s="169">
        <f t="shared" ca="1" si="17"/>
        <v>26</v>
      </c>
      <c r="AR37" s="172">
        <f t="shared" ca="1" si="18"/>
        <v>39.119999999999997</v>
      </c>
      <c r="AS37" s="238">
        <f t="shared" ca="1" si="19"/>
        <v>26.257368421052632</v>
      </c>
      <c r="AT37" s="239">
        <f t="shared" ca="1" si="20"/>
        <v>26</v>
      </c>
      <c r="AU37" s="172">
        <f t="shared" ca="1" si="21"/>
        <v>26</v>
      </c>
      <c r="AV37" s="232">
        <f t="shared" ca="1" si="22"/>
        <v>26.006592292089248</v>
      </c>
      <c r="AW37" s="72">
        <f t="shared" si="23"/>
        <v>1127.9199999999998</v>
      </c>
      <c r="AX37" s="73">
        <f t="shared" si="24"/>
        <v>1</v>
      </c>
      <c r="AY37" s="73">
        <f t="shared" ca="1" si="25"/>
        <v>0</v>
      </c>
      <c r="AZ37" s="74">
        <f t="shared" ca="1" si="26"/>
        <v>26</v>
      </c>
      <c r="BA37" s="75">
        <f t="shared" ca="1" si="27"/>
        <v>26</v>
      </c>
      <c r="BC37" s="89">
        <f t="shared" ca="1" si="28"/>
        <v>1</v>
      </c>
      <c r="BD37" s="90">
        <v>29</v>
      </c>
      <c r="BE37" s="27">
        <f t="shared" ca="1" si="29"/>
        <v>26.036999999999999</v>
      </c>
      <c r="BF37" s="28">
        <f t="shared" ca="1" si="30"/>
        <v>26</v>
      </c>
      <c r="BG37" s="27" t="str">
        <f t="shared" si="31"/>
        <v>St. Ann X</v>
      </c>
      <c r="BH37" s="29">
        <f t="shared" ca="1" si="32"/>
        <v>26</v>
      </c>
      <c r="BI37" s="27">
        <f t="shared" ca="1" si="33"/>
        <v>26</v>
      </c>
      <c r="BJ37" s="99">
        <f t="shared" ca="1" si="34"/>
        <v>29</v>
      </c>
      <c r="BK37" s="100" t="str">
        <f t="shared" ca="1" si="35"/>
        <v>C.P. Weber X</v>
      </c>
    </row>
    <row r="38" spans="2:63" x14ac:dyDescent="0.25">
      <c r="B38" s="51">
        <v>30</v>
      </c>
      <c r="C38" s="247" t="s">
        <v>93</v>
      </c>
      <c r="D38" s="53"/>
      <c r="E38" s="37"/>
      <c r="F38" s="191"/>
      <c r="G38" s="132"/>
      <c r="H38" s="56"/>
      <c r="I38" s="54"/>
      <c r="J38" s="123"/>
      <c r="K38" s="55"/>
      <c r="L38" s="112"/>
      <c r="M38" s="127"/>
      <c r="N38" s="196"/>
      <c r="O38" s="132" t="s">
        <v>125</v>
      </c>
      <c r="P38" s="108"/>
      <c r="Q38" s="54"/>
      <c r="R38" s="123"/>
      <c r="S38" s="112"/>
      <c r="T38" s="115"/>
      <c r="U38" s="115"/>
      <c r="V38" s="196"/>
      <c r="W38" s="139" t="s">
        <v>125</v>
      </c>
      <c r="X38" s="145"/>
      <c r="Y38" s="148"/>
      <c r="Z38" s="166">
        <f t="shared" si="0"/>
        <v>30</v>
      </c>
      <c r="AA38" s="167" t="str">
        <f t="shared" si="1"/>
        <v>P</v>
      </c>
      <c r="AB38" s="168" t="str">
        <f t="shared" si="2"/>
        <v>P</v>
      </c>
      <c r="AC38" s="169" t="str">
        <f t="shared" si="3"/>
        <v>P</v>
      </c>
      <c r="AD38" s="170" t="str">
        <f t="shared" si="4"/>
        <v>P</v>
      </c>
      <c r="AE38" s="169" t="str">
        <f t="shared" si="5"/>
        <v>P</v>
      </c>
      <c r="AF38" s="169" t="str">
        <f t="shared" si="6"/>
        <v>P</v>
      </c>
      <c r="AG38" s="171" t="str">
        <f t="shared" si="7"/>
        <v>P</v>
      </c>
      <c r="AH38" s="168" t="str">
        <f t="shared" si="8"/>
        <v>P</v>
      </c>
      <c r="AI38" s="169" t="str">
        <f t="shared" si="9"/>
        <v>P</v>
      </c>
      <c r="AJ38" s="170" t="str">
        <f t="shared" si="10"/>
        <v>P</v>
      </c>
      <c r="AK38" s="169" t="str">
        <f t="shared" si="11"/>
        <v>P</v>
      </c>
      <c r="AL38" s="169" t="str">
        <f t="shared" si="12"/>
        <v>P</v>
      </c>
      <c r="AM38" s="169" t="str">
        <f t="shared" si="13"/>
        <v>P</v>
      </c>
      <c r="AN38" s="170" t="str">
        <f t="shared" ca="1" si="14"/>
        <v>P</v>
      </c>
      <c r="AO38" s="169" t="str">
        <f t="shared" ca="1" si="15"/>
        <v>P</v>
      </c>
      <c r="AP38" s="170" t="str">
        <f t="shared" ca="1" si="16"/>
        <v>P</v>
      </c>
      <c r="AQ38" s="169" t="str">
        <f t="shared" ca="1" si="17"/>
        <v>P</v>
      </c>
      <c r="AR38" s="172" t="str">
        <f t="shared" ca="1" si="18"/>
        <v>P</v>
      </c>
      <c r="AS38" s="238" t="str">
        <f t="shared" ca="1" si="19"/>
        <v>P</v>
      </c>
      <c r="AT38" s="239" t="str">
        <f t="shared" ca="1" si="20"/>
        <v>P</v>
      </c>
      <c r="AU38" s="172" t="str">
        <f t="shared" ca="1" si="21"/>
        <v>P</v>
      </c>
      <c r="AV38" s="232" t="str">
        <f t="shared" ca="1" si="22"/>
        <v>P</v>
      </c>
      <c r="AW38" s="72" t="str">
        <f t="shared" si="23"/>
        <v>P</v>
      </c>
      <c r="AX38" s="73" t="str">
        <f t="shared" si="24"/>
        <v>P</v>
      </c>
      <c r="AY38" s="73" t="str">
        <f t="shared" ca="1" si="25"/>
        <v>P</v>
      </c>
      <c r="AZ38" s="74" t="str">
        <f t="shared" ca="1" si="26"/>
        <v>P</v>
      </c>
      <c r="BA38" s="75">
        <f t="shared" ca="1" si="27"/>
        <v>60</v>
      </c>
      <c r="BC38" s="89">
        <f t="shared" ca="1" si="28"/>
        <v>0</v>
      </c>
      <c r="BD38" s="90">
        <v>30</v>
      </c>
      <c r="BE38" s="27">
        <f t="shared" ca="1" si="29"/>
        <v>60.037999999999997</v>
      </c>
      <c r="BF38" s="28">
        <f t="shared" ca="1" si="30"/>
        <v>37</v>
      </c>
      <c r="BG38" s="27" t="str">
        <f t="shared" si="31"/>
        <v>St. Ann Y</v>
      </c>
      <c r="BH38" s="29">
        <f t="shared" ca="1" si="32"/>
        <v>60</v>
      </c>
      <c r="BI38" s="27" t="str">
        <f t="shared" ca="1" si="33"/>
        <v>P</v>
      </c>
      <c r="BJ38" s="99" t="str">
        <f t="shared" ca="1" si="34"/>
        <v/>
      </c>
      <c r="BK38" s="100" t="str">
        <f t="shared" ca="1" si="35"/>
        <v/>
      </c>
    </row>
    <row r="39" spans="2:63" x14ac:dyDescent="0.25">
      <c r="B39" s="46">
        <v>31</v>
      </c>
      <c r="C39" s="246" t="s">
        <v>94</v>
      </c>
      <c r="D39" s="47"/>
      <c r="E39" s="38"/>
      <c r="F39" s="190" t="s">
        <v>125</v>
      </c>
      <c r="G39" s="131">
        <v>0</v>
      </c>
      <c r="H39" s="49">
        <v>0</v>
      </c>
      <c r="I39" s="45">
        <v>0</v>
      </c>
      <c r="J39" s="122">
        <v>37.700000000000003</v>
      </c>
      <c r="K39" s="48">
        <v>5.13</v>
      </c>
      <c r="L39" s="111"/>
      <c r="M39" s="126"/>
      <c r="N39" s="195" t="s">
        <v>125</v>
      </c>
      <c r="O39" s="131" t="s">
        <v>126</v>
      </c>
      <c r="P39" s="107">
        <v>0</v>
      </c>
      <c r="Q39" s="45">
        <v>0</v>
      </c>
      <c r="R39" s="122">
        <v>3.1</v>
      </c>
      <c r="S39" s="111">
        <v>5.13</v>
      </c>
      <c r="T39" s="114"/>
      <c r="U39" s="114"/>
      <c r="V39" s="195" t="s">
        <v>125</v>
      </c>
      <c r="W39" s="138" t="s">
        <v>126</v>
      </c>
      <c r="X39" s="144" t="s">
        <v>54</v>
      </c>
      <c r="Y39" s="147" t="s">
        <v>126</v>
      </c>
      <c r="Z39" s="161">
        <f t="shared" si="0"/>
        <v>31</v>
      </c>
      <c r="AA39" s="162">
        <f t="shared" si="1"/>
        <v>1</v>
      </c>
      <c r="AB39" s="163">
        <f t="shared" si="2"/>
        <v>150.80000000000001</v>
      </c>
      <c r="AC39" s="158">
        <f t="shared" si="3"/>
        <v>10.26</v>
      </c>
      <c r="AD39" s="159">
        <f t="shared" si="4"/>
        <v>0</v>
      </c>
      <c r="AE39" s="158">
        <f t="shared" si="5"/>
        <v>136.06</v>
      </c>
      <c r="AF39" s="158" t="str">
        <f t="shared" si="6"/>
        <v>-&gt;</v>
      </c>
      <c r="AG39" s="164">
        <f t="shared" si="7"/>
        <v>1</v>
      </c>
      <c r="AH39" s="163">
        <f t="shared" si="8"/>
        <v>12.4</v>
      </c>
      <c r="AI39" s="158">
        <f t="shared" si="9"/>
        <v>10.26</v>
      </c>
      <c r="AJ39" s="159">
        <f t="shared" si="10"/>
        <v>0</v>
      </c>
      <c r="AK39" s="158">
        <f t="shared" si="11"/>
        <v>-2.34</v>
      </c>
      <c r="AL39" s="158">
        <f t="shared" si="12"/>
        <v>1</v>
      </c>
      <c r="AM39" s="158">
        <f t="shared" si="13"/>
        <v>-2.34</v>
      </c>
      <c r="AN39" s="159">
        <f t="shared" ca="1" si="14"/>
        <v>3</v>
      </c>
      <c r="AO39" s="158">
        <f t="shared" ca="1" si="15"/>
        <v>12.4</v>
      </c>
      <c r="AP39" s="159">
        <f t="shared" ca="1" si="16"/>
        <v>3.003833786791986</v>
      </c>
      <c r="AQ39" s="158">
        <f t="shared" ca="1" si="17"/>
        <v>3</v>
      </c>
      <c r="AR39" s="165">
        <f t="shared" ca="1" si="18"/>
        <v>10.26</v>
      </c>
      <c r="AS39" s="236">
        <f t="shared" ca="1" si="19"/>
        <v>3.0674999999999999</v>
      </c>
      <c r="AT39" s="237">
        <f t="shared" ca="1" si="20"/>
        <v>3</v>
      </c>
      <c r="AU39" s="165">
        <f t="shared" ca="1" si="21"/>
        <v>3</v>
      </c>
      <c r="AV39" s="231">
        <f t="shared" ca="1" si="22"/>
        <v>3.000760649087221</v>
      </c>
      <c r="AW39" s="68">
        <f t="shared" si="23"/>
        <v>-2.34</v>
      </c>
      <c r="AX39" s="69">
        <f t="shared" si="24"/>
        <v>1</v>
      </c>
      <c r="AY39" s="69">
        <f t="shared" ca="1" si="25"/>
        <v>0</v>
      </c>
      <c r="AZ39" s="70">
        <f t="shared" ca="1" si="26"/>
        <v>3</v>
      </c>
      <c r="BA39" s="71">
        <f t="shared" ca="1" si="27"/>
        <v>3</v>
      </c>
      <c r="BC39" s="87">
        <f t="shared" ca="1" si="28"/>
        <v>1</v>
      </c>
      <c r="BD39" s="88">
        <v>31</v>
      </c>
      <c r="BE39" s="31">
        <f t="shared" ca="1" si="29"/>
        <v>3.0390000000000001</v>
      </c>
      <c r="BF39" s="32">
        <f t="shared" ca="1" si="30"/>
        <v>3</v>
      </c>
      <c r="BG39" s="31" t="str">
        <f t="shared" si="31"/>
        <v>Springhouse X</v>
      </c>
      <c r="BH39" s="33">
        <f t="shared" ca="1" si="32"/>
        <v>3</v>
      </c>
      <c r="BI39" s="31">
        <f t="shared" ca="1" si="33"/>
        <v>3</v>
      </c>
      <c r="BJ39" s="97" t="str">
        <f t="shared" ca="1" si="34"/>
        <v/>
      </c>
      <c r="BK39" s="98" t="str">
        <f t="shared" ca="1" si="35"/>
        <v/>
      </c>
    </row>
    <row r="40" spans="2:63" x14ac:dyDescent="0.25">
      <c r="B40" s="46">
        <v>32</v>
      </c>
      <c r="C40" s="246" t="s">
        <v>95</v>
      </c>
      <c r="D40" s="47"/>
      <c r="E40" s="38"/>
      <c r="F40" s="190" t="s">
        <v>125</v>
      </c>
      <c r="G40" s="131">
        <v>0</v>
      </c>
      <c r="H40" s="49">
        <v>0</v>
      </c>
      <c r="I40" s="45">
        <v>0</v>
      </c>
      <c r="J40" s="122">
        <v>53</v>
      </c>
      <c r="K40" s="48">
        <v>3.4380000000000002</v>
      </c>
      <c r="L40" s="111"/>
      <c r="M40" s="126"/>
      <c r="N40" s="195" t="s">
        <v>126</v>
      </c>
      <c r="O40" s="131" t="s">
        <v>126</v>
      </c>
      <c r="P40" s="107">
        <v>0</v>
      </c>
      <c r="Q40" s="45">
        <v>0</v>
      </c>
      <c r="R40" s="122">
        <v>24.8</v>
      </c>
      <c r="S40" s="111">
        <v>3.3559999999999999</v>
      </c>
      <c r="T40" s="114"/>
      <c r="U40" s="114"/>
      <c r="V40" s="195" t="s">
        <v>126</v>
      </c>
      <c r="W40" s="138" t="s">
        <v>126</v>
      </c>
      <c r="X40" s="144" t="s">
        <v>54</v>
      </c>
      <c r="Y40" s="147" t="s">
        <v>126</v>
      </c>
      <c r="Z40" s="161">
        <f t="shared" si="0"/>
        <v>32</v>
      </c>
      <c r="AA40" s="162">
        <f t="shared" si="1"/>
        <v>1</v>
      </c>
      <c r="AB40" s="163">
        <f t="shared" si="2"/>
        <v>212</v>
      </c>
      <c r="AC40" s="158">
        <f t="shared" si="3"/>
        <v>6.88</v>
      </c>
      <c r="AD40" s="159">
        <f t="shared" si="4"/>
        <v>0</v>
      </c>
      <c r="AE40" s="158">
        <f t="shared" si="5"/>
        <v>218.88</v>
      </c>
      <c r="AF40" s="158" t="str">
        <f t="shared" si="6"/>
        <v>-&gt;</v>
      </c>
      <c r="AG40" s="164">
        <f t="shared" si="7"/>
        <v>1</v>
      </c>
      <c r="AH40" s="163">
        <f t="shared" si="8"/>
        <v>99.2</v>
      </c>
      <c r="AI40" s="158">
        <f t="shared" si="9"/>
        <v>6.72</v>
      </c>
      <c r="AJ40" s="159">
        <f t="shared" si="10"/>
        <v>0</v>
      </c>
      <c r="AK40" s="158">
        <f t="shared" si="11"/>
        <v>105.92</v>
      </c>
      <c r="AL40" s="158">
        <f t="shared" si="12"/>
        <v>1</v>
      </c>
      <c r="AM40" s="158">
        <f t="shared" si="13"/>
        <v>105.92</v>
      </c>
      <c r="AN40" s="159">
        <f t="shared" ca="1" si="14"/>
        <v>12</v>
      </c>
      <c r="AO40" s="158">
        <f t="shared" ca="1" si="15"/>
        <v>99.2</v>
      </c>
      <c r="AP40" s="159">
        <f t="shared" ca="1" si="16"/>
        <v>12.03067029433589</v>
      </c>
      <c r="AQ40" s="158">
        <f t="shared" ca="1" si="17"/>
        <v>12</v>
      </c>
      <c r="AR40" s="165">
        <f t="shared" ca="1" si="18"/>
        <v>6.72</v>
      </c>
      <c r="AS40" s="236">
        <f t="shared" ca="1" si="19"/>
        <v>12.044210526315789</v>
      </c>
      <c r="AT40" s="237">
        <f t="shared" ca="1" si="20"/>
        <v>12</v>
      </c>
      <c r="AU40" s="165">
        <f t="shared" ca="1" si="21"/>
        <v>12</v>
      </c>
      <c r="AV40" s="231">
        <f t="shared" ca="1" si="22"/>
        <v>12.003042596348884</v>
      </c>
      <c r="AW40" s="68">
        <f t="shared" si="23"/>
        <v>105.92</v>
      </c>
      <c r="AX40" s="69">
        <f t="shared" si="24"/>
        <v>1</v>
      </c>
      <c r="AY40" s="69">
        <f t="shared" ca="1" si="25"/>
        <v>0</v>
      </c>
      <c r="AZ40" s="70">
        <f t="shared" ca="1" si="26"/>
        <v>12</v>
      </c>
      <c r="BA40" s="71">
        <f t="shared" ca="1" si="27"/>
        <v>12</v>
      </c>
      <c r="BC40" s="87">
        <f t="shared" ca="1" si="28"/>
        <v>1</v>
      </c>
      <c r="BD40" s="88">
        <v>32</v>
      </c>
      <c r="BE40" s="31">
        <f t="shared" ca="1" si="29"/>
        <v>12.04</v>
      </c>
      <c r="BF40" s="32">
        <f t="shared" ca="1" si="30"/>
        <v>12</v>
      </c>
      <c r="BG40" s="31" t="str">
        <f t="shared" si="31"/>
        <v>Springhouse Y</v>
      </c>
      <c r="BH40" s="33">
        <f t="shared" ca="1" si="32"/>
        <v>12</v>
      </c>
      <c r="BI40" s="31">
        <f t="shared" ca="1" si="33"/>
        <v>12</v>
      </c>
      <c r="BJ40" s="97" t="str">
        <f t="shared" ca="1" si="34"/>
        <v/>
      </c>
      <c r="BK40" s="98" t="str">
        <f t="shared" ca="1" si="35"/>
        <v/>
      </c>
    </row>
    <row r="41" spans="2:63" x14ac:dyDescent="0.25">
      <c r="B41" s="46">
        <v>33</v>
      </c>
      <c r="C41" s="246" t="s">
        <v>96</v>
      </c>
      <c r="D41" s="47"/>
      <c r="E41" s="38"/>
      <c r="F41" s="190" t="s">
        <v>125</v>
      </c>
      <c r="G41" s="131">
        <v>0</v>
      </c>
      <c r="H41" s="49">
        <v>0</v>
      </c>
      <c r="I41" s="45">
        <v>0</v>
      </c>
      <c r="J41" s="122">
        <v>50.2</v>
      </c>
      <c r="K41" s="48">
        <v>2.157</v>
      </c>
      <c r="L41" s="111"/>
      <c r="M41" s="126"/>
      <c r="N41" s="195" t="s">
        <v>126</v>
      </c>
      <c r="O41" s="131" t="s">
        <v>126</v>
      </c>
      <c r="P41" s="107">
        <v>0</v>
      </c>
      <c r="Q41" s="45">
        <v>0</v>
      </c>
      <c r="R41" s="122">
        <v>4</v>
      </c>
      <c r="S41" s="111">
        <v>2.157</v>
      </c>
      <c r="T41" s="114"/>
      <c r="U41" s="114"/>
      <c r="V41" s="195" t="s">
        <v>125</v>
      </c>
      <c r="W41" s="138" t="s">
        <v>126</v>
      </c>
      <c r="X41" s="144" t="s">
        <v>54</v>
      </c>
      <c r="Y41" s="147" t="s">
        <v>126</v>
      </c>
      <c r="Z41" s="161">
        <f t="shared" si="0"/>
        <v>33</v>
      </c>
      <c r="AA41" s="162">
        <f t="shared" si="1"/>
        <v>1</v>
      </c>
      <c r="AB41" s="163">
        <f t="shared" si="2"/>
        <v>200.8</v>
      </c>
      <c r="AC41" s="158">
        <f t="shared" si="3"/>
        <v>4.32</v>
      </c>
      <c r="AD41" s="159">
        <f t="shared" si="4"/>
        <v>0</v>
      </c>
      <c r="AE41" s="158">
        <f t="shared" si="5"/>
        <v>205.12</v>
      </c>
      <c r="AF41" s="158" t="str">
        <f t="shared" si="6"/>
        <v>-&gt;</v>
      </c>
      <c r="AG41" s="164">
        <f t="shared" si="7"/>
        <v>1</v>
      </c>
      <c r="AH41" s="163">
        <f t="shared" si="8"/>
        <v>16</v>
      </c>
      <c r="AI41" s="158">
        <f t="shared" si="9"/>
        <v>4.32</v>
      </c>
      <c r="AJ41" s="159">
        <f t="shared" si="10"/>
        <v>0</v>
      </c>
      <c r="AK41" s="158">
        <f t="shared" si="11"/>
        <v>-4.68</v>
      </c>
      <c r="AL41" s="158">
        <f t="shared" si="12"/>
        <v>1</v>
      </c>
      <c r="AM41" s="158">
        <f t="shared" si="13"/>
        <v>-4.68</v>
      </c>
      <c r="AN41" s="159">
        <f t="shared" ca="1" si="14"/>
        <v>2</v>
      </c>
      <c r="AO41" s="158">
        <f t="shared" ca="1" si="15"/>
        <v>16</v>
      </c>
      <c r="AP41" s="159">
        <f t="shared" ca="1" si="16"/>
        <v>2.0049468216670787</v>
      </c>
      <c r="AQ41" s="158">
        <f t="shared" ca="1" si="17"/>
        <v>2</v>
      </c>
      <c r="AR41" s="165">
        <f t="shared" ca="1" si="18"/>
        <v>4.32</v>
      </c>
      <c r="AS41" s="236">
        <f t="shared" ca="1" si="19"/>
        <v>2.0284210526315789</v>
      </c>
      <c r="AT41" s="237">
        <f t="shared" ca="1" si="20"/>
        <v>2</v>
      </c>
      <c r="AU41" s="165">
        <f t="shared" ca="1" si="21"/>
        <v>2</v>
      </c>
      <c r="AV41" s="231">
        <f t="shared" ca="1" si="22"/>
        <v>2.0005070993914806</v>
      </c>
      <c r="AW41" s="68">
        <f t="shared" si="23"/>
        <v>-4.68</v>
      </c>
      <c r="AX41" s="69">
        <f t="shared" si="24"/>
        <v>1</v>
      </c>
      <c r="AY41" s="69">
        <f t="shared" ca="1" si="25"/>
        <v>0</v>
      </c>
      <c r="AZ41" s="70">
        <f t="shared" ca="1" si="26"/>
        <v>2</v>
      </c>
      <c r="BA41" s="71">
        <f t="shared" ca="1" si="27"/>
        <v>2</v>
      </c>
      <c r="BC41" s="87">
        <f t="shared" ca="1" si="28"/>
        <v>1</v>
      </c>
      <c r="BD41" s="88">
        <v>33</v>
      </c>
      <c r="BE41" s="31">
        <f t="shared" ca="1" si="29"/>
        <v>2.0409999999999999</v>
      </c>
      <c r="BF41" s="32">
        <f t="shared" ca="1" si="30"/>
        <v>2</v>
      </c>
      <c r="BG41" s="31" t="str">
        <f t="shared" si="31"/>
        <v>Community X</v>
      </c>
      <c r="BH41" s="33">
        <f t="shared" ca="1" si="32"/>
        <v>2</v>
      </c>
      <c r="BI41" s="31">
        <f t="shared" ca="1" si="33"/>
        <v>2</v>
      </c>
      <c r="BJ41" s="97" t="str">
        <f t="shared" ca="1" si="34"/>
        <v/>
      </c>
      <c r="BK41" s="98" t="str">
        <f t="shared" ca="1" si="35"/>
        <v/>
      </c>
    </row>
    <row r="42" spans="2:63" x14ac:dyDescent="0.25">
      <c r="B42" s="51">
        <v>34</v>
      </c>
      <c r="C42" s="247" t="s">
        <v>97</v>
      </c>
      <c r="D42" s="53"/>
      <c r="E42" s="37"/>
      <c r="F42" s="191" t="s">
        <v>125</v>
      </c>
      <c r="G42" s="132">
        <v>0</v>
      </c>
      <c r="H42" s="56">
        <v>0</v>
      </c>
      <c r="I42" s="54">
        <v>0</v>
      </c>
      <c r="J42" s="123">
        <v>61.6</v>
      </c>
      <c r="K42" s="55">
        <v>4.9800000000000004</v>
      </c>
      <c r="L42" s="112"/>
      <c r="M42" s="127"/>
      <c r="N42" s="196" t="s">
        <v>125</v>
      </c>
      <c r="O42" s="132" t="s">
        <v>126</v>
      </c>
      <c r="P42" s="108">
        <v>0</v>
      </c>
      <c r="Q42" s="54">
        <v>0</v>
      </c>
      <c r="R42" s="123">
        <v>11.7</v>
      </c>
      <c r="S42" s="112">
        <v>5.12</v>
      </c>
      <c r="T42" s="115"/>
      <c r="U42" s="115"/>
      <c r="V42" s="196" t="s">
        <v>125</v>
      </c>
      <c r="W42" s="139" t="s">
        <v>126</v>
      </c>
      <c r="X42" s="145" t="s">
        <v>54</v>
      </c>
      <c r="Y42" s="148" t="s">
        <v>126</v>
      </c>
      <c r="Z42" s="166">
        <f t="shared" si="0"/>
        <v>34</v>
      </c>
      <c r="AA42" s="167">
        <f t="shared" si="1"/>
        <v>1</v>
      </c>
      <c r="AB42" s="168">
        <f t="shared" si="2"/>
        <v>246.4</v>
      </c>
      <c r="AC42" s="169">
        <f t="shared" si="3"/>
        <v>9.9600000000000009</v>
      </c>
      <c r="AD42" s="170">
        <f t="shared" si="4"/>
        <v>0</v>
      </c>
      <c r="AE42" s="169">
        <f t="shared" si="5"/>
        <v>231.36</v>
      </c>
      <c r="AF42" s="169" t="str">
        <f t="shared" si="6"/>
        <v>-&gt;</v>
      </c>
      <c r="AG42" s="171">
        <f t="shared" si="7"/>
        <v>1</v>
      </c>
      <c r="AH42" s="168">
        <f t="shared" si="8"/>
        <v>46.8</v>
      </c>
      <c r="AI42" s="169">
        <f t="shared" si="9"/>
        <v>10.24</v>
      </c>
      <c r="AJ42" s="170">
        <f t="shared" si="10"/>
        <v>0</v>
      </c>
      <c r="AK42" s="169">
        <f t="shared" si="11"/>
        <v>32.04</v>
      </c>
      <c r="AL42" s="169">
        <f t="shared" si="12"/>
        <v>1</v>
      </c>
      <c r="AM42" s="169">
        <f t="shared" si="13"/>
        <v>32.04</v>
      </c>
      <c r="AN42" s="170">
        <f t="shared" ca="1" si="14"/>
        <v>6</v>
      </c>
      <c r="AO42" s="169">
        <f t="shared" ca="1" si="15"/>
        <v>46.8</v>
      </c>
      <c r="AP42" s="170">
        <f t="shared" ca="1" si="16"/>
        <v>6.014469453376206</v>
      </c>
      <c r="AQ42" s="169">
        <f t="shared" ca="1" si="17"/>
        <v>6</v>
      </c>
      <c r="AR42" s="172">
        <f t="shared" ca="1" si="18"/>
        <v>10.24</v>
      </c>
      <c r="AS42" s="238">
        <f t="shared" ca="1" si="19"/>
        <v>6.067368421052632</v>
      </c>
      <c r="AT42" s="239">
        <f t="shared" ca="1" si="20"/>
        <v>6</v>
      </c>
      <c r="AU42" s="172">
        <f t="shared" ca="1" si="21"/>
        <v>6</v>
      </c>
      <c r="AV42" s="232">
        <f t="shared" ca="1" si="22"/>
        <v>6.0015212981744419</v>
      </c>
      <c r="AW42" s="72">
        <f t="shared" si="23"/>
        <v>32.04</v>
      </c>
      <c r="AX42" s="73">
        <f t="shared" si="24"/>
        <v>1</v>
      </c>
      <c r="AY42" s="73">
        <f t="shared" ca="1" si="25"/>
        <v>0</v>
      </c>
      <c r="AZ42" s="74">
        <f t="shared" ca="1" si="26"/>
        <v>6</v>
      </c>
      <c r="BA42" s="75">
        <f t="shared" ca="1" si="27"/>
        <v>6</v>
      </c>
      <c r="BC42" s="89">
        <f t="shared" ca="1" si="28"/>
        <v>1</v>
      </c>
      <c r="BD42" s="90">
        <v>34</v>
      </c>
      <c r="BE42" s="27">
        <f t="shared" ca="1" si="29"/>
        <v>6.0419999999999998</v>
      </c>
      <c r="BF42" s="28">
        <f t="shared" ca="1" si="30"/>
        <v>6</v>
      </c>
      <c r="BG42" s="27" t="str">
        <f t="shared" si="31"/>
        <v>Community Y</v>
      </c>
      <c r="BH42" s="29">
        <f t="shared" ca="1" si="32"/>
        <v>6</v>
      </c>
      <c r="BI42" s="27">
        <f t="shared" ca="1" si="33"/>
        <v>6</v>
      </c>
      <c r="BJ42" s="99" t="str">
        <f t="shared" ca="1" si="34"/>
        <v/>
      </c>
      <c r="BK42" s="100" t="str">
        <f t="shared" ca="1" si="35"/>
        <v/>
      </c>
    </row>
    <row r="43" spans="2:63" x14ac:dyDescent="0.25">
      <c r="B43" s="51">
        <v>35</v>
      </c>
      <c r="C43" s="247" t="s">
        <v>98</v>
      </c>
      <c r="D43" s="53"/>
      <c r="E43" s="37"/>
      <c r="F43" s="191" t="s">
        <v>125</v>
      </c>
      <c r="G43" s="132">
        <v>0</v>
      </c>
      <c r="H43" s="56">
        <v>0</v>
      </c>
      <c r="I43" s="54">
        <v>0</v>
      </c>
      <c r="J43" s="123">
        <v>170.9</v>
      </c>
      <c r="K43" s="55">
        <v>4.72</v>
      </c>
      <c r="L43" s="112"/>
      <c r="M43" s="127"/>
      <c r="N43" s="196" t="s">
        <v>126</v>
      </c>
      <c r="O43" s="132" t="s">
        <v>126</v>
      </c>
      <c r="P43" s="108">
        <v>0</v>
      </c>
      <c r="Q43" s="54">
        <v>1</v>
      </c>
      <c r="R43" s="123">
        <v>383</v>
      </c>
      <c r="S43" s="112">
        <v>3.8</v>
      </c>
      <c r="T43" s="115">
        <v>3.9</v>
      </c>
      <c r="U43" s="115">
        <v>4.18</v>
      </c>
      <c r="V43" s="196" t="s">
        <v>126</v>
      </c>
      <c r="W43" s="139" t="s">
        <v>126</v>
      </c>
      <c r="X43" s="145" t="s">
        <v>54</v>
      </c>
      <c r="Y43" s="148" t="s">
        <v>126</v>
      </c>
      <c r="Z43" s="166">
        <f t="shared" si="0"/>
        <v>35</v>
      </c>
      <c r="AA43" s="167">
        <f t="shared" si="1"/>
        <v>1</v>
      </c>
      <c r="AB43" s="168">
        <f t="shared" si="2"/>
        <v>683.6</v>
      </c>
      <c r="AC43" s="169">
        <f t="shared" si="3"/>
        <v>9.44</v>
      </c>
      <c r="AD43" s="170">
        <f t="shared" si="4"/>
        <v>0</v>
      </c>
      <c r="AE43" s="169">
        <f t="shared" si="5"/>
        <v>693.04000000000008</v>
      </c>
      <c r="AF43" s="169" t="str">
        <f t="shared" si="6"/>
        <v>&lt;-</v>
      </c>
      <c r="AG43" s="171">
        <f t="shared" si="7"/>
        <v>1</v>
      </c>
      <c r="AH43" s="168">
        <f t="shared" si="8"/>
        <v>1532</v>
      </c>
      <c r="AI43" s="169">
        <f t="shared" si="9"/>
        <v>7.8</v>
      </c>
      <c r="AJ43" s="170">
        <f t="shared" si="10"/>
        <v>1000</v>
      </c>
      <c r="AK43" s="169">
        <f t="shared" si="11"/>
        <v>2539.8000000000002</v>
      </c>
      <c r="AL43" s="169">
        <f t="shared" si="12"/>
        <v>1</v>
      </c>
      <c r="AM43" s="169">
        <f t="shared" si="13"/>
        <v>693.04000000000008</v>
      </c>
      <c r="AN43" s="170">
        <f t="shared" ca="1" si="14"/>
        <v>24</v>
      </c>
      <c r="AO43" s="169">
        <f t="shared" ca="1" si="15"/>
        <v>683.6</v>
      </c>
      <c r="AP43" s="170">
        <f t="shared" ca="1" si="16"/>
        <v>24.211352955725946</v>
      </c>
      <c r="AQ43" s="169">
        <f t="shared" ca="1" si="17"/>
        <v>24</v>
      </c>
      <c r="AR43" s="172">
        <f t="shared" ca="1" si="18"/>
        <v>9.44</v>
      </c>
      <c r="AS43" s="238">
        <f t="shared" ca="1" si="19"/>
        <v>24.062105263157896</v>
      </c>
      <c r="AT43" s="239">
        <f t="shared" ca="1" si="20"/>
        <v>24</v>
      </c>
      <c r="AU43" s="172">
        <f t="shared" ca="1" si="21"/>
        <v>1532</v>
      </c>
      <c r="AV43" s="232">
        <f t="shared" ca="1" si="22"/>
        <v>24.388438133874239</v>
      </c>
      <c r="AW43" s="72">
        <f t="shared" si="23"/>
        <v>693.04000000000008</v>
      </c>
      <c r="AX43" s="73">
        <f t="shared" si="24"/>
        <v>1</v>
      </c>
      <c r="AY43" s="73">
        <f t="shared" ca="1" si="25"/>
        <v>0</v>
      </c>
      <c r="AZ43" s="74">
        <f t="shared" ca="1" si="26"/>
        <v>24</v>
      </c>
      <c r="BA43" s="75">
        <f t="shared" ca="1" si="27"/>
        <v>24</v>
      </c>
      <c r="BC43" s="89">
        <f t="shared" ca="1" si="28"/>
        <v>1</v>
      </c>
      <c r="BD43" s="90">
        <v>35</v>
      </c>
      <c r="BE43" s="27">
        <f t="shared" ca="1" si="29"/>
        <v>24.042999999999999</v>
      </c>
      <c r="BF43" s="28">
        <f t="shared" ca="1" si="30"/>
        <v>24</v>
      </c>
      <c r="BG43" s="27" t="str">
        <f t="shared" si="31"/>
        <v>North Bethesda X</v>
      </c>
      <c r="BH43" s="29">
        <f t="shared" ca="1" si="32"/>
        <v>24</v>
      </c>
      <c r="BI43" s="27">
        <f t="shared" ca="1" si="33"/>
        <v>24</v>
      </c>
      <c r="BJ43" s="99" t="str">
        <f t="shared" ca="1" si="34"/>
        <v/>
      </c>
      <c r="BK43" s="100" t="str">
        <f t="shared" ca="1" si="35"/>
        <v/>
      </c>
    </row>
    <row r="44" spans="2:63" x14ac:dyDescent="0.25">
      <c r="B44" s="51">
        <v>36</v>
      </c>
      <c r="C44" s="247" t="s">
        <v>99</v>
      </c>
      <c r="D44" s="53"/>
      <c r="E44" s="37"/>
      <c r="F44" s="191" t="s">
        <v>125</v>
      </c>
      <c r="G44" s="132">
        <v>0</v>
      </c>
      <c r="H44" s="56">
        <v>0</v>
      </c>
      <c r="I44" s="54">
        <v>0</v>
      </c>
      <c r="J44" s="123">
        <v>1.7</v>
      </c>
      <c r="K44" s="55">
        <v>3.2690000000000001</v>
      </c>
      <c r="L44" s="112"/>
      <c r="M44" s="127"/>
      <c r="N44" s="196" t="s">
        <v>125</v>
      </c>
      <c r="O44" s="132" t="s">
        <v>126</v>
      </c>
      <c r="P44" s="108">
        <v>0</v>
      </c>
      <c r="Q44" s="54">
        <v>0</v>
      </c>
      <c r="R44" s="123">
        <v>15.9</v>
      </c>
      <c r="S44" s="112">
        <v>3.2639999999999998</v>
      </c>
      <c r="T44" s="115"/>
      <c r="U44" s="115"/>
      <c r="V44" s="196" t="s">
        <v>126</v>
      </c>
      <c r="W44" s="139" t="s">
        <v>126</v>
      </c>
      <c r="X44" s="145" t="s">
        <v>54</v>
      </c>
      <c r="Y44" s="148" t="s">
        <v>126</v>
      </c>
      <c r="Z44" s="166">
        <f t="shared" si="0"/>
        <v>36</v>
      </c>
      <c r="AA44" s="167">
        <f t="shared" si="1"/>
        <v>1</v>
      </c>
      <c r="AB44" s="168">
        <f t="shared" si="2"/>
        <v>6.8</v>
      </c>
      <c r="AC44" s="169">
        <f t="shared" si="3"/>
        <v>6.54</v>
      </c>
      <c r="AD44" s="170">
        <f t="shared" si="4"/>
        <v>0</v>
      </c>
      <c r="AE44" s="169">
        <f t="shared" si="5"/>
        <v>-11.66</v>
      </c>
      <c r="AF44" s="169" t="str">
        <f t="shared" si="6"/>
        <v>&lt;-</v>
      </c>
      <c r="AG44" s="171">
        <f t="shared" si="7"/>
        <v>1</v>
      </c>
      <c r="AH44" s="168">
        <f t="shared" si="8"/>
        <v>63.6</v>
      </c>
      <c r="AI44" s="169">
        <f t="shared" si="9"/>
        <v>6.52</v>
      </c>
      <c r="AJ44" s="170">
        <f t="shared" si="10"/>
        <v>0</v>
      </c>
      <c r="AK44" s="169">
        <f t="shared" si="11"/>
        <v>70.12</v>
      </c>
      <c r="AL44" s="169">
        <f t="shared" si="12"/>
        <v>1</v>
      </c>
      <c r="AM44" s="169">
        <f t="shared" si="13"/>
        <v>-11.66</v>
      </c>
      <c r="AN44" s="170">
        <f t="shared" ca="1" si="14"/>
        <v>1</v>
      </c>
      <c r="AO44" s="169">
        <f t="shared" ca="1" si="15"/>
        <v>6.8</v>
      </c>
      <c r="AP44" s="170">
        <f t="shared" ca="1" si="16"/>
        <v>1.0021023992085085</v>
      </c>
      <c r="AQ44" s="169">
        <f t="shared" ca="1" si="17"/>
        <v>1</v>
      </c>
      <c r="AR44" s="172">
        <f t="shared" ca="1" si="18"/>
        <v>6.54</v>
      </c>
      <c r="AS44" s="238">
        <f t="shared" ca="1" si="19"/>
        <v>1.0430263157894737</v>
      </c>
      <c r="AT44" s="239">
        <f t="shared" ca="1" si="20"/>
        <v>1</v>
      </c>
      <c r="AU44" s="172">
        <f t="shared" ca="1" si="21"/>
        <v>63.6</v>
      </c>
      <c r="AV44" s="232">
        <f t="shared" ca="1" si="22"/>
        <v>1.0161257606490872</v>
      </c>
      <c r="AW44" s="72">
        <f t="shared" si="23"/>
        <v>-11.66</v>
      </c>
      <c r="AX44" s="73">
        <f t="shared" si="24"/>
        <v>1</v>
      </c>
      <c r="AY44" s="73">
        <f t="shared" ca="1" si="25"/>
        <v>0</v>
      </c>
      <c r="AZ44" s="74">
        <f t="shared" ca="1" si="26"/>
        <v>1</v>
      </c>
      <c r="BA44" s="75">
        <f t="shared" ca="1" si="27"/>
        <v>1</v>
      </c>
      <c r="BC44" s="89">
        <f t="shared" ca="1" si="28"/>
        <v>1</v>
      </c>
      <c r="BD44" s="90">
        <v>36</v>
      </c>
      <c r="BE44" s="27">
        <f t="shared" ca="1" si="29"/>
        <v>1.044</v>
      </c>
      <c r="BF44" s="28">
        <f t="shared" ca="1" si="30"/>
        <v>1</v>
      </c>
      <c r="BG44" s="27" t="str">
        <f t="shared" si="31"/>
        <v>North Bethesda Y</v>
      </c>
      <c r="BH44" s="29">
        <f t="shared" ca="1" si="32"/>
        <v>1</v>
      </c>
      <c r="BI44" s="27">
        <f t="shared" ca="1" si="33"/>
        <v>1</v>
      </c>
      <c r="BJ44" s="99" t="str">
        <f t="shared" ca="1" si="34"/>
        <v/>
      </c>
      <c r="BK44" s="100" t="str">
        <f t="shared" ca="1" si="35"/>
        <v/>
      </c>
    </row>
    <row r="45" spans="2:63" x14ac:dyDescent="0.25">
      <c r="B45" s="46">
        <v>37</v>
      </c>
      <c r="C45" s="246" t="s">
        <v>100</v>
      </c>
      <c r="D45" s="47"/>
      <c r="E45" s="38"/>
      <c r="F45" s="190" t="s">
        <v>125</v>
      </c>
      <c r="G45" s="131">
        <v>0</v>
      </c>
      <c r="H45" s="49">
        <v>0</v>
      </c>
      <c r="I45" s="45">
        <v>0</v>
      </c>
      <c r="J45" s="122">
        <v>44.2</v>
      </c>
      <c r="K45" s="48">
        <v>5.0609999999999999</v>
      </c>
      <c r="L45" s="111"/>
      <c r="M45" s="126"/>
      <c r="N45" s="195" t="s">
        <v>126</v>
      </c>
      <c r="O45" s="131" t="s">
        <v>126</v>
      </c>
      <c r="P45" s="107">
        <v>0</v>
      </c>
      <c r="Q45" s="45">
        <v>0</v>
      </c>
      <c r="R45" s="122">
        <v>54.3</v>
      </c>
      <c r="S45" s="111">
        <v>5.0590000000000002</v>
      </c>
      <c r="T45" s="114"/>
      <c r="U45" s="114"/>
      <c r="V45" s="195" t="s">
        <v>125</v>
      </c>
      <c r="W45" s="138" t="s">
        <v>126</v>
      </c>
      <c r="X45" s="144" t="s">
        <v>54</v>
      </c>
      <c r="Y45" s="147" t="s">
        <v>126</v>
      </c>
      <c r="Z45" s="161">
        <f t="shared" si="0"/>
        <v>37</v>
      </c>
      <c r="AA45" s="162">
        <f t="shared" si="1"/>
        <v>1</v>
      </c>
      <c r="AB45" s="163">
        <f t="shared" si="2"/>
        <v>176.8</v>
      </c>
      <c r="AC45" s="158">
        <f t="shared" si="3"/>
        <v>10.119999999999999</v>
      </c>
      <c r="AD45" s="159">
        <f t="shared" si="4"/>
        <v>0</v>
      </c>
      <c r="AE45" s="158">
        <f t="shared" si="5"/>
        <v>186.92000000000002</v>
      </c>
      <c r="AF45" s="158" t="str">
        <f t="shared" si="6"/>
        <v>&lt;-</v>
      </c>
      <c r="AG45" s="164">
        <f t="shared" si="7"/>
        <v>1</v>
      </c>
      <c r="AH45" s="163">
        <f t="shared" si="8"/>
        <v>217.2</v>
      </c>
      <c r="AI45" s="158">
        <f t="shared" si="9"/>
        <v>10.119999999999999</v>
      </c>
      <c r="AJ45" s="159">
        <f t="shared" si="10"/>
        <v>0</v>
      </c>
      <c r="AK45" s="158">
        <f t="shared" si="11"/>
        <v>202.32</v>
      </c>
      <c r="AL45" s="158">
        <f t="shared" si="12"/>
        <v>1</v>
      </c>
      <c r="AM45" s="158">
        <f t="shared" si="13"/>
        <v>186.92000000000002</v>
      </c>
      <c r="AN45" s="159">
        <f t="shared" ca="1" si="14"/>
        <v>17</v>
      </c>
      <c r="AO45" s="158">
        <f t="shared" ca="1" si="15"/>
        <v>176.8</v>
      </c>
      <c r="AP45" s="159">
        <f t="shared" ca="1" si="16"/>
        <v>17.05466237942122</v>
      </c>
      <c r="AQ45" s="158">
        <f t="shared" ca="1" si="17"/>
        <v>17</v>
      </c>
      <c r="AR45" s="165">
        <f t="shared" ca="1" si="18"/>
        <v>10.119999999999999</v>
      </c>
      <c r="AS45" s="236">
        <f t="shared" ca="1" si="19"/>
        <v>17.06657894736842</v>
      </c>
      <c r="AT45" s="237">
        <f t="shared" ca="1" si="20"/>
        <v>17</v>
      </c>
      <c r="AU45" s="165">
        <f t="shared" ca="1" si="21"/>
        <v>217.2</v>
      </c>
      <c r="AV45" s="231">
        <f t="shared" ca="1" si="22"/>
        <v>17.055070993914807</v>
      </c>
      <c r="AW45" s="68">
        <f t="shared" si="23"/>
        <v>186.92000000000002</v>
      </c>
      <c r="AX45" s="69">
        <f t="shared" si="24"/>
        <v>1</v>
      </c>
      <c r="AY45" s="69">
        <f t="shared" ca="1" si="25"/>
        <v>0</v>
      </c>
      <c r="AZ45" s="70">
        <f t="shared" ca="1" si="26"/>
        <v>17</v>
      </c>
      <c r="BA45" s="71">
        <f t="shared" ca="1" si="27"/>
        <v>17</v>
      </c>
      <c r="BC45" s="87">
        <f t="shared" ca="1" si="28"/>
        <v>1</v>
      </c>
      <c r="BD45" s="88">
        <v>37</v>
      </c>
      <c r="BE45" s="31">
        <f t="shared" ca="1" si="29"/>
        <v>17.045000000000002</v>
      </c>
      <c r="BF45" s="32">
        <f t="shared" ca="1" si="30"/>
        <v>17</v>
      </c>
      <c r="BG45" s="31" t="str">
        <f t="shared" si="31"/>
        <v>Strath Haven X</v>
      </c>
      <c r="BH45" s="33">
        <f t="shared" ca="1" si="32"/>
        <v>17</v>
      </c>
      <c r="BI45" s="31">
        <f t="shared" ca="1" si="33"/>
        <v>17</v>
      </c>
      <c r="BJ45" s="97" t="str">
        <f t="shared" ca="1" si="34"/>
        <v/>
      </c>
      <c r="BK45" s="98" t="str">
        <f t="shared" ca="1" si="35"/>
        <v/>
      </c>
    </row>
    <row r="46" spans="2:63" x14ac:dyDescent="0.25">
      <c r="B46" s="46">
        <v>38</v>
      </c>
      <c r="C46" s="246" t="s">
        <v>101</v>
      </c>
      <c r="D46" s="47"/>
      <c r="E46" s="38"/>
      <c r="F46" s="190"/>
      <c r="G46" s="131"/>
      <c r="H46" s="49"/>
      <c r="I46" s="45"/>
      <c r="J46" s="122"/>
      <c r="K46" s="48"/>
      <c r="L46" s="111"/>
      <c r="M46" s="126"/>
      <c r="N46" s="195"/>
      <c r="O46" s="131" t="s">
        <v>125</v>
      </c>
      <c r="P46" s="107"/>
      <c r="Q46" s="45"/>
      <c r="R46" s="122"/>
      <c r="S46" s="111"/>
      <c r="T46" s="114"/>
      <c r="U46" s="114"/>
      <c r="V46" s="195"/>
      <c r="W46" s="138"/>
      <c r="X46" s="144"/>
      <c r="Y46" s="147" t="s">
        <v>125</v>
      </c>
      <c r="Z46" s="161">
        <f t="shared" si="0"/>
        <v>38</v>
      </c>
      <c r="AA46" s="162" t="str">
        <f t="shared" si="1"/>
        <v>DQ</v>
      </c>
      <c r="AB46" s="163" t="str">
        <f t="shared" si="2"/>
        <v>DQ</v>
      </c>
      <c r="AC46" s="158" t="str">
        <f t="shared" si="3"/>
        <v>DQ</v>
      </c>
      <c r="AD46" s="159" t="str">
        <f t="shared" si="4"/>
        <v>DQ</v>
      </c>
      <c r="AE46" s="158" t="str">
        <f t="shared" si="5"/>
        <v>DQ</v>
      </c>
      <c r="AF46" s="158" t="str">
        <f t="shared" si="6"/>
        <v>DQ</v>
      </c>
      <c r="AG46" s="164" t="str">
        <f t="shared" si="7"/>
        <v>DQ</v>
      </c>
      <c r="AH46" s="163" t="str">
        <f t="shared" si="8"/>
        <v>DQ</v>
      </c>
      <c r="AI46" s="158" t="str">
        <f t="shared" si="9"/>
        <v>DQ</v>
      </c>
      <c r="AJ46" s="159" t="str">
        <f t="shared" si="10"/>
        <v>DQ</v>
      </c>
      <c r="AK46" s="158" t="str">
        <f t="shared" si="11"/>
        <v>DQ</v>
      </c>
      <c r="AL46" s="158" t="str">
        <f t="shared" si="12"/>
        <v>DQ</v>
      </c>
      <c r="AM46" s="158" t="str">
        <f t="shared" si="13"/>
        <v>DQ</v>
      </c>
      <c r="AN46" s="159" t="str">
        <f t="shared" ca="1" si="14"/>
        <v>DQ</v>
      </c>
      <c r="AO46" s="158" t="str">
        <f t="shared" ca="1" si="15"/>
        <v>DQ</v>
      </c>
      <c r="AP46" s="159" t="str">
        <f t="shared" ca="1" si="16"/>
        <v>DQ</v>
      </c>
      <c r="AQ46" s="158" t="str">
        <f t="shared" ca="1" si="17"/>
        <v>DQ</v>
      </c>
      <c r="AR46" s="165" t="str">
        <f t="shared" ca="1" si="18"/>
        <v>DQ</v>
      </c>
      <c r="AS46" s="236" t="str">
        <f t="shared" ca="1" si="19"/>
        <v>DQ</v>
      </c>
      <c r="AT46" s="237" t="str">
        <f t="shared" ca="1" si="20"/>
        <v>DQ</v>
      </c>
      <c r="AU46" s="165" t="str">
        <f t="shared" ca="1" si="21"/>
        <v>DQ</v>
      </c>
      <c r="AV46" s="231" t="str">
        <f t="shared" ca="1" si="22"/>
        <v>DQ</v>
      </c>
      <c r="AW46" s="68" t="str">
        <f t="shared" si="23"/>
        <v>DQ</v>
      </c>
      <c r="AX46" s="69" t="str">
        <f t="shared" si="24"/>
        <v>DQ</v>
      </c>
      <c r="AY46" s="69" t="str">
        <f t="shared" ca="1" si="25"/>
        <v>DQ</v>
      </c>
      <c r="AZ46" s="70" t="str">
        <f t="shared" ca="1" si="26"/>
        <v>DQ</v>
      </c>
      <c r="BA46" s="71">
        <f t="shared" ca="1" si="27"/>
        <v>62</v>
      </c>
      <c r="BC46" s="87">
        <f t="shared" ca="1" si="28"/>
        <v>0</v>
      </c>
      <c r="BD46" s="88">
        <v>38</v>
      </c>
      <c r="BE46" s="31">
        <f t="shared" ca="1" si="29"/>
        <v>62.045999999999999</v>
      </c>
      <c r="BF46" s="32">
        <f t="shared" ca="1" si="30"/>
        <v>60</v>
      </c>
      <c r="BG46" s="31" t="str">
        <f t="shared" si="31"/>
        <v>Strath Haven Y</v>
      </c>
      <c r="BH46" s="33">
        <f t="shared" ca="1" si="32"/>
        <v>62</v>
      </c>
      <c r="BI46" s="31" t="str">
        <f t="shared" ca="1" si="33"/>
        <v>DQ</v>
      </c>
      <c r="BJ46" s="97" t="str">
        <f t="shared" ca="1" si="34"/>
        <v/>
      </c>
      <c r="BK46" s="98" t="str">
        <f t="shared" ca="1" si="35"/>
        <v/>
      </c>
    </row>
    <row r="47" spans="2:63" x14ac:dyDescent="0.25">
      <c r="B47" s="46">
        <v>39</v>
      </c>
      <c r="C47" s="246" t="s">
        <v>102</v>
      </c>
      <c r="D47" s="47"/>
      <c r="E47" s="38"/>
      <c r="F47" s="190" t="s">
        <v>125</v>
      </c>
      <c r="G47" s="131">
        <v>0</v>
      </c>
      <c r="H47" s="49">
        <v>0</v>
      </c>
      <c r="I47" s="45">
        <v>0</v>
      </c>
      <c r="J47" s="122">
        <v>76.5</v>
      </c>
      <c r="K47" s="48">
        <v>5.05</v>
      </c>
      <c r="L47" s="111"/>
      <c r="M47" s="126"/>
      <c r="N47" s="195" t="s">
        <v>125</v>
      </c>
      <c r="O47" s="131" t="s">
        <v>126</v>
      </c>
      <c r="P47" s="107">
        <v>0</v>
      </c>
      <c r="Q47" s="45">
        <v>0</v>
      </c>
      <c r="R47" s="122">
        <v>86.3</v>
      </c>
      <c r="S47" s="111">
        <v>5.18</v>
      </c>
      <c r="T47" s="114"/>
      <c r="U47" s="114"/>
      <c r="V47" s="195" t="s">
        <v>125</v>
      </c>
      <c r="W47" s="138" t="s">
        <v>126</v>
      </c>
      <c r="X47" s="144" t="s">
        <v>54</v>
      </c>
      <c r="Y47" s="147" t="s">
        <v>126</v>
      </c>
      <c r="Z47" s="161">
        <f t="shared" si="0"/>
        <v>39</v>
      </c>
      <c r="AA47" s="162">
        <f t="shared" si="1"/>
        <v>1</v>
      </c>
      <c r="AB47" s="163">
        <f t="shared" si="2"/>
        <v>306</v>
      </c>
      <c r="AC47" s="158">
        <f t="shared" si="3"/>
        <v>10.1</v>
      </c>
      <c r="AD47" s="159">
        <f t="shared" si="4"/>
        <v>0</v>
      </c>
      <c r="AE47" s="158">
        <f t="shared" si="5"/>
        <v>291.10000000000002</v>
      </c>
      <c r="AF47" s="158" t="str">
        <f t="shared" si="6"/>
        <v>&lt;-</v>
      </c>
      <c r="AG47" s="164">
        <f t="shared" si="7"/>
        <v>1</v>
      </c>
      <c r="AH47" s="163">
        <f t="shared" si="8"/>
        <v>345.2</v>
      </c>
      <c r="AI47" s="158">
        <f t="shared" si="9"/>
        <v>10.36</v>
      </c>
      <c r="AJ47" s="159">
        <f t="shared" si="10"/>
        <v>0</v>
      </c>
      <c r="AK47" s="158">
        <f t="shared" si="11"/>
        <v>330.56</v>
      </c>
      <c r="AL47" s="158">
        <f t="shared" si="12"/>
        <v>1</v>
      </c>
      <c r="AM47" s="158">
        <f t="shared" si="13"/>
        <v>291.10000000000002</v>
      </c>
      <c r="AN47" s="159">
        <f t="shared" ca="1" si="14"/>
        <v>19</v>
      </c>
      <c r="AO47" s="158">
        <f t="shared" ca="1" si="15"/>
        <v>306</v>
      </c>
      <c r="AP47" s="159">
        <f t="shared" ca="1" si="16"/>
        <v>19.094607964382885</v>
      </c>
      <c r="AQ47" s="158">
        <f t="shared" ca="1" si="17"/>
        <v>19</v>
      </c>
      <c r="AR47" s="165">
        <f t="shared" ca="1" si="18"/>
        <v>10.1</v>
      </c>
      <c r="AS47" s="236">
        <f t="shared" ca="1" si="19"/>
        <v>19.066447368421052</v>
      </c>
      <c r="AT47" s="237">
        <f t="shared" ca="1" si="20"/>
        <v>19</v>
      </c>
      <c r="AU47" s="165">
        <f t="shared" ca="1" si="21"/>
        <v>345.2</v>
      </c>
      <c r="AV47" s="231">
        <f t="shared" ca="1" si="22"/>
        <v>19.087525354969575</v>
      </c>
      <c r="AW47" s="68">
        <f t="shared" si="23"/>
        <v>291.10000000000002</v>
      </c>
      <c r="AX47" s="69">
        <f t="shared" si="24"/>
        <v>1</v>
      </c>
      <c r="AY47" s="69">
        <f t="shared" ca="1" si="25"/>
        <v>0</v>
      </c>
      <c r="AZ47" s="70">
        <f t="shared" ca="1" si="26"/>
        <v>19</v>
      </c>
      <c r="BA47" s="71">
        <f t="shared" ca="1" si="27"/>
        <v>19</v>
      </c>
      <c r="BC47" s="87">
        <f t="shared" ca="1" si="28"/>
        <v>1</v>
      </c>
      <c r="BD47" s="88">
        <v>39</v>
      </c>
      <c r="BE47" s="31">
        <f t="shared" ca="1" si="29"/>
        <v>19.047000000000001</v>
      </c>
      <c r="BF47" s="32">
        <f t="shared" ca="1" si="30"/>
        <v>19</v>
      </c>
      <c r="BG47" s="31" t="str">
        <f t="shared" si="31"/>
        <v>Bay Academy X</v>
      </c>
      <c r="BH47" s="33">
        <f t="shared" ca="1" si="32"/>
        <v>19</v>
      </c>
      <c r="BI47" s="31">
        <f t="shared" ca="1" si="33"/>
        <v>19</v>
      </c>
      <c r="BJ47" s="97" t="str">
        <f t="shared" ca="1" si="34"/>
        <v/>
      </c>
      <c r="BK47" s="98" t="str">
        <f t="shared" ca="1" si="35"/>
        <v/>
      </c>
    </row>
    <row r="48" spans="2:63" x14ac:dyDescent="0.25">
      <c r="B48" s="51">
        <v>40</v>
      </c>
      <c r="C48" s="247" t="s">
        <v>103</v>
      </c>
      <c r="D48" s="53"/>
      <c r="E48" s="37"/>
      <c r="F48" s="191"/>
      <c r="G48" s="132"/>
      <c r="H48" s="56"/>
      <c r="I48" s="54"/>
      <c r="J48" s="123"/>
      <c r="K48" s="55"/>
      <c r="L48" s="112"/>
      <c r="M48" s="127"/>
      <c r="N48" s="196"/>
      <c r="O48" s="132"/>
      <c r="P48" s="108"/>
      <c r="Q48" s="54"/>
      <c r="R48" s="123"/>
      <c r="S48" s="112"/>
      <c r="T48" s="115"/>
      <c r="U48" s="115"/>
      <c r="V48" s="196"/>
      <c r="W48" s="139"/>
      <c r="X48" s="145"/>
      <c r="Y48" s="148"/>
      <c r="Z48" s="166">
        <f t="shared" si="0"/>
        <v>40</v>
      </c>
      <c r="AA48" s="167" t="str">
        <f t="shared" si="1"/>
        <v>NS</v>
      </c>
      <c r="AB48" s="168" t="str">
        <f t="shared" si="2"/>
        <v>NS</v>
      </c>
      <c r="AC48" s="169" t="str">
        <f t="shared" si="3"/>
        <v>NS</v>
      </c>
      <c r="AD48" s="170" t="str">
        <f t="shared" si="4"/>
        <v>NS</v>
      </c>
      <c r="AE48" s="169" t="str">
        <f t="shared" si="5"/>
        <v>NS</v>
      </c>
      <c r="AF48" s="169" t="str">
        <f t="shared" si="6"/>
        <v>NS</v>
      </c>
      <c r="AG48" s="171" t="str">
        <f t="shared" si="7"/>
        <v>NS</v>
      </c>
      <c r="AH48" s="168" t="str">
        <f t="shared" si="8"/>
        <v>NS</v>
      </c>
      <c r="AI48" s="169" t="str">
        <f t="shared" si="9"/>
        <v>NS</v>
      </c>
      <c r="AJ48" s="170" t="str">
        <f t="shared" si="10"/>
        <v>NS</v>
      </c>
      <c r="AK48" s="169" t="str">
        <f t="shared" si="11"/>
        <v>NS</v>
      </c>
      <c r="AL48" s="169" t="str">
        <f t="shared" si="12"/>
        <v>NS</v>
      </c>
      <c r="AM48" s="169" t="str">
        <f t="shared" si="13"/>
        <v>NS</v>
      </c>
      <c r="AN48" s="170" t="str">
        <f t="shared" ca="1" si="14"/>
        <v>NS</v>
      </c>
      <c r="AO48" s="169" t="str">
        <f t="shared" ca="1" si="15"/>
        <v>NS</v>
      </c>
      <c r="AP48" s="170" t="str">
        <f t="shared" ca="1" si="16"/>
        <v>NS</v>
      </c>
      <c r="AQ48" s="169" t="str">
        <f t="shared" ca="1" si="17"/>
        <v>NS</v>
      </c>
      <c r="AR48" s="172" t="str">
        <f t="shared" ca="1" si="18"/>
        <v>NS</v>
      </c>
      <c r="AS48" s="238" t="str">
        <f t="shared" ca="1" si="19"/>
        <v>NS</v>
      </c>
      <c r="AT48" s="239" t="str">
        <f t="shared" ca="1" si="20"/>
        <v>NS</v>
      </c>
      <c r="AU48" s="172" t="str">
        <f t="shared" ca="1" si="21"/>
        <v>NS</v>
      </c>
      <c r="AV48" s="232" t="str">
        <f t="shared" ca="1" si="22"/>
        <v>NS</v>
      </c>
      <c r="AW48" s="72" t="str">
        <f t="shared" si="23"/>
        <v>NS</v>
      </c>
      <c r="AX48" s="73" t="str">
        <f t="shared" si="24"/>
        <v>NS</v>
      </c>
      <c r="AY48" s="73" t="str">
        <f t="shared" ca="1" si="25"/>
        <v>NS</v>
      </c>
      <c r="AZ48" s="74" t="str">
        <f t="shared" ca="1" si="26"/>
        <v>NS</v>
      </c>
      <c r="BA48" s="75">
        <f t="shared" ca="1" si="27"/>
        <v>61</v>
      </c>
      <c r="BC48" s="89">
        <f t="shared" ca="1" si="28"/>
        <v>0</v>
      </c>
      <c r="BD48" s="90">
        <v>40</v>
      </c>
      <c r="BE48" s="27">
        <f t="shared" ca="1" si="29"/>
        <v>61.048000000000002</v>
      </c>
      <c r="BF48" s="28">
        <f t="shared" ca="1" si="30"/>
        <v>51</v>
      </c>
      <c r="BG48" s="27" t="str">
        <f t="shared" si="31"/>
        <v>Bay Academy Y</v>
      </c>
      <c r="BH48" s="29">
        <f t="shared" ca="1" si="32"/>
        <v>61</v>
      </c>
      <c r="BI48" s="27" t="str">
        <f t="shared" ca="1" si="33"/>
        <v>NS</v>
      </c>
      <c r="BJ48" s="99" t="str">
        <f t="shared" ca="1" si="34"/>
        <v/>
      </c>
      <c r="BK48" s="100" t="str">
        <f t="shared" ca="1" si="35"/>
        <v/>
      </c>
    </row>
    <row r="49" spans="2:63" x14ac:dyDescent="0.25">
      <c r="B49" s="51">
        <v>41</v>
      </c>
      <c r="C49" s="247" t="s">
        <v>104</v>
      </c>
      <c r="D49" s="53"/>
      <c r="E49" s="37"/>
      <c r="F49" s="191"/>
      <c r="G49" s="132"/>
      <c r="H49" s="56"/>
      <c r="I49" s="54"/>
      <c r="J49" s="123"/>
      <c r="K49" s="55"/>
      <c r="L49" s="112"/>
      <c r="M49" s="127"/>
      <c r="N49" s="196"/>
      <c r="O49" s="132" t="s">
        <v>125</v>
      </c>
      <c r="P49" s="108"/>
      <c r="Q49" s="54"/>
      <c r="R49" s="123"/>
      <c r="S49" s="112"/>
      <c r="T49" s="115"/>
      <c r="U49" s="115"/>
      <c r="V49" s="196"/>
      <c r="W49" s="139" t="s">
        <v>125</v>
      </c>
      <c r="X49" s="145"/>
      <c r="Y49" s="148"/>
      <c r="Z49" s="166">
        <f t="shared" si="0"/>
        <v>41</v>
      </c>
      <c r="AA49" s="167" t="str">
        <f t="shared" si="1"/>
        <v>P</v>
      </c>
      <c r="AB49" s="168" t="str">
        <f t="shared" si="2"/>
        <v>P</v>
      </c>
      <c r="AC49" s="169" t="str">
        <f t="shared" si="3"/>
        <v>P</v>
      </c>
      <c r="AD49" s="170" t="str">
        <f t="shared" si="4"/>
        <v>P</v>
      </c>
      <c r="AE49" s="169" t="str">
        <f t="shared" si="5"/>
        <v>P</v>
      </c>
      <c r="AF49" s="169" t="str">
        <f t="shared" si="6"/>
        <v>P</v>
      </c>
      <c r="AG49" s="171" t="str">
        <f t="shared" si="7"/>
        <v>P</v>
      </c>
      <c r="AH49" s="168" t="str">
        <f t="shared" si="8"/>
        <v>P</v>
      </c>
      <c r="AI49" s="169" t="str">
        <f t="shared" si="9"/>
        <v>P</v>
      </c>
      <c r="AJ49" s="170" t="str">
        <f t="shared" si="10"/>
        <v>P</v>
      </c>
      <c r="AK49" s="169" t="str">
        <f t="shared" si="11"/>
        <v>P</v>
      </c>
      <c r="AL49" s="169" t="str">
        <f t="shared" si="12"/>
        <v>P</v>
      </c>
      <c r="AM49" s="169" t="str">
        <f t="shared" si="13"/>
        <v>P</v>
      </c>
      <c r="AN49" s="170" t="str">
        <f t="shared" ca="1" si="14"/>
        <v>P</v>
      </c>
      <c r="AO49" s="169" t="str">
        <f t="shared" ca="1" si="15"/>
        <v>P</v>
      </c>
      <c r="AP49" s="170" t="str">
        <f t="shared" ca="1" si="16"/>
        <v>P</v>
      </c>
      <c r="AQ49" s="169" t="str">
        <f t="shared" ca="1" si="17"/>
        <v>P</v>
      </c>
      <c r="AR49" s="172" t="str">
        <f t="shared" ca="1" si="18"/>
        <v>P</v>
      </c>
      <c r="AS49" s="238" t="str">
        <f t="shared" ca="1" si="19"/>
        <v>P</v>
      </c>
      <c r="AT49" s="239" t="str">
        <f t="shared" ca="1" si="20"/>
        <v>P</v>
      </c>
      <c r="AU49" s="172" t="str">
        <f t="shared" ca="1" si="21"/>
        <v>P</v>
      </c>
      <c r="AV49" s="232" t="str">
        <f t="shared" ca="1" si="22"/>
        <v>P</v>
      </c>
      <c r="AW49" s="72" t="str">
        <f t="shared" si="23"/>
        <v>P</v>
      </c>
      <c r="AX49" s="73" t="str">
        <f t="shared" si="24"/>
        <v>P</v>
      </c>
      <c r="AY49" s="73" t="str">
        <f t="shared" ca="1" si="25"/>
        <v>P</v>
      </c>
      <c r="AZ49" s="74" t="str">
        <f t="shared" ca="1" si="26"/>
        <v>P</v>
      </c>
      <c r="BA49" s="75">
        <f t="shared" ca="1" si="27"/>
        <v>60</v>
      </c>
      <c r="BC49" s="89">
        <f t="shared" ca="1" si="28"/>
        <v>0</v>
      </c>
      <c r="BD49" s="90">
        <v>41</v>
      </c>
      <c r="BE49" s="27">
        <f t="shared" ca="1" si="29"/>
        <v>60.048999999999999</v>
      </c>
      <c r="BF49" s="28">
        <f t="shared" ca="1" si="30"/>
        <v>38</v>
      </c>
      <c r="BG49" s="27" t="str">
        <f t="shared" si="31"/>
        <v>J.R. Fugett X</v>
      </c>
      <c r="BH49" s="29">
        <f t="shared" ca="1" si="32"/>
        <v>60</v>
      </c>
      <c r="BI49" s="27" t="str">
        <f t="shared" ca="1" si="33"/>
        <v>P</v>
      </c>
      <c r="BJ49" s="99" t="str">
        <f t="shared" ca="1" si="34"/>
        <v/>
      </c>
      <c r="BK49" s="100" t="str">
        <f t="shared" ca="1" si="35"/>
        <v/>
      </c>
    </row>
    <row r="50" spans="2:63" x14ac:dyDescent="0.25">
      <c r="B50" s="51">
        <v>42</v>
      </c>
      <c r="C50" s="247" t="s">
        <v>105</v>
      </c>
      <c r="D50" s="53"/>
      <c r="E50" s="37"/>
      <c r="F50" s="191" t="s">
        <v>125</v>
      </c>
      <c r="G50" s="132">
        <v>0</v>
      </c>
      <c r="H50" s="56">
        <v>0</v>
      </c>
      <c r="I50" s="54">
        <v>1</v>
      </c>
      <c r="J50" s="123">
        <v>245.1</v>
      </c>
      <c r="K50" s="55">
        <v>5.25</v>
      </c>
      <c r="L50" s="112"/>
      <c r="M50" s="127"/>
      <c r="N50" s="196" t="s">
        <v>126</v>
      </c>
      <c r="O50" s="132" t="s">
        <v>126</v>
      </c>
      <c r="P50" s="108">
        <v>0</v>
      </c>
      <c r="Q50" s="54">
        <v>1</v>
      </c>
      <c r="R50" s="123">
        <v>493</v>
      </c>
      <c r="S50" s="112">
        <v>4.51</v>
      </c>
      <c r="T50" s="115">
        <v>5.7</v>
      </c>
      <c r="U50" s="115"/>
      <c r="V50" s="196"/>
      <c r="W50" s="139" t="s">
        <v>126</v>
      </c>
      <c r="X50" s="145" t="s">
        <v>54</v>
      </c>
      <c r="Y50" s="148" t="s">
        <v>126</v>
      </c>
      <c r="Z50" s="166">
        <f t="shared" si="0"/>
        <v>42</v>
      </c>
      <c r="AA50" s="167">
        <f t="shared" si="1"/>
        <v>1</v>
      </c>
      <c r="AB50" s="168">
        <f t="shared" si="2"/>
        <v>980.4</v>
      </c>
      <c r="AC50" s="169">
        <f t="shared" si="3"/>
        <v>10.5</v>
      </c>
      <c r="AD50" s="170">
        <f t="shared" si="4"/>
        <v>1000</v>
      </c>
      <c r="AE50" s="169">
        <f t="shared" si="5"/>
        <v>1990.9</v>
      </c>
      <c r="AF50" s="169" t="str">
        <f t="shared" si="6"/>
        <v>&lt;-</v>
      </c>
      <c r="AG50" s="171">
        <f t="shared" si="7"/>
        <v>1</v>
      </c>
      <c r="AH50" s="168">
        <f t="shared" si="8"/>
        <v>1972</v>
      </c>
      <c r="AI50" s="169">
        <f t="shared" si="9"/>
        <v>10.220000000000001</v>
      </c>
      <c r="AJ50" s="170">
        <f t="shared" si="10"/>
        <v>1000</v>
      </c>
      <c r="AK50" s="169">
        <f t="shared" si="11"/>
        <v>2982.2200000000003</v>
      </c>
      <c r="AL50" s="169">
        <f t="shared" si="12"/>
        <v>1</v>
      </c>
      <c r="AM50" s="169">
        <f t="shared" si="13"/>
        <v>1990.9</v>
      </c>
      <c r="AN50" s="170">
        <f t="shared" ca="1" si="14"/>
        <v>27</v>
      </c>
      <c r="AO50" s="169">
        <f t="shared" ca="1" si="15"/>
        <v>980.4</v>
      </c>
      <c r="AP50" s="170">
        <f t="shared" ca="1" si="16"/>
        <v>27.303116497650258</v>
      </c>
      <c r="AQ50" s="169">
        <f t="shared" ca="1" si="17"/>
        <v>27</v>
      </c>
      <c r="AR50" s="172">
        <f t="shared" ca="1" si="18"/>
        <v>10.5</v>
      </c>
      <c r="AS50" s="238">
        <f t="shared" ca="1" si="19"/>
        <v>27.069078947368421</v>
      </c>
      <c r="AT50" s="239">
        <f t="shared" ca="1" si="20"/>
        <v>27</v>
      </c>
      <c r="AU50" s="172">
        <f t="shared" ca="1" si="21"/>
        <v>1972</v>
      </c>
      <c r="AV50" s="232">
        <f t="shared" ca="1" si="22"/>
        <v>27.5</v>
      </c>
      <c r="AW50" s="72">
        <f t="shared" si="23"/>
        <v>1990.9</v>
      </c>
      <c r="AX50" s="73">
        <f t="shared" si="24"/>
        <v>1</v>
      </c>
      <c r="AY50" s="73">
        <f t="shared" ca="1" si="25"/>
        <v>0</v>
      </c>
      <c r="AZ50" s="74">
        <f t="shared" ca="1" si="26"/>
        <v>27</v>
      </c>
      <c r="BA50" s="75">
        <f t="shared" ca="1" si="27"/>
        <v>27</v>
      </c>
      <c r="BC50" s="89">
        <f t="shared" ca="1" si="28"/>
        <v>1</v>
      </c>
      <c r="BD50" s="90">
        <v>42</v>
      </c>
      <c r="BE50" s="27">
        <f t="shared" ca="1" si="29"/>
        <v>27.05</v>
      </c>
      <c r="BF50" s="28">
        <f t="shared" ca="1" si="30"/>
        <v>27</v>
      </c>
      <c r="BG50" s="27" t="str">
        <f t="shared" si="31"/>
        <v>J.R. Fugett Y</v>
      </c>
      <c r="BH50" s="29">
        <f t="shared" ca="1" si="32"/>
        <v>27</v>
      </c>
      <c r="BI50" s="27">
        <f t="shared" ca="1" si="33"/>
        <v>27</v>
      </c>
      <c r="BJ50" s="99" t="str">
        <f t="shared" ca="1" si="34"/>
        <v/>
      </c>
      <c r="BK50" s="100" t="str">
        <f t="shared" ca="1" si="35"/>
        <v/>
      </c>
    </row>
    <row r="51" spans="2:63" x14ac:dyDescent="0.25">
      <c r="B51" s="46">
        <v>43</v>
      </c>
      <c r="C51" s="246" t="s">
        <v>106</v>
      </c>
      <c r="D51" s="47"/>
      <c r="E51" s="38"/>
      <c r="F51" s="190" t="s">
        <v>125</v>
      </c>
      <c r="G51" s="131">
        <v>0</v>
      </c>
      <c r="H51" s="49">
        <v>0</v>
      </c>
      <c r="I51" s="45">
        <v>2</v>
      </c>
      <c r="J51" s="122">
        <v>278.3</v>
      </c>
      <c r="K51" s="48">
        <v>5.71</v>
      </c>
      <c r="L51" s="111">
        <v>5.76</v>
      </c>
      <c r="M51" s="126"/>
      <c r="N51" s="195" t="s">
        <v>126</v>
      </c>
      <c r="O51" s="131" t="s">
        <v>126</v>
      </c>
      <c r="P51" s="107">
        <v>0</v>
      </c>
      <c r="Q51" s="45">
        <v>1</v>
      </c>
      <c r="R51" s="122">
        <v>284.8</v>
      </c>
      <c r="S51" s="111">
        <v>5.88</v>
      </c>
      <c r="T51" s="114">
        <v>5.57</v>
      </c>
      <c r="U51" s="114">
        <v>4.82</v>
      </c>
      <c r="V51" s="195" t="s">
        <v>126</v>
      </c>
      <c r="W51" s="138" t="s">
        <v>126</v>
      </c>
      <c r="X51" s="144" t="s">
        <v>54</v>
      </c>
      <c r="Y51" s="147" t="s">
        <v>127</v>
      </c>
      <c r="Z51" s="161">
        <f t="shared" si="0"/>
        <v>43</v>
      </c>
      <c r="AA51" s="162">
        <f t="shared" si="1"/>
        <v>1</v>
      </c>
      <c r="AB51" s="163">
        <f t="shared" si="2"/>
        <v>1113.2</v>
      </c>
      <c r="AC51" s="158">
        <f t="shared" si="3"/>
        <v>11.48</v>
      </c>
      <c r="AD51" s="159">
        <f t="shared" si="4"/>
        <v>2000</v>
      </c>
      <c r="AE51" s="158">
        <f t="shared" si="5"/>
        <v>3124.6800000000003</v>
      </c>
      <c r="AF51" s="158" t="str">
        <f t="shared" si="6"/>
        <v>-&gt;</v>
      </c>
      <c r="AG51" s="164">
        <f t="shared" si="7"/>
        <v>1</v>
      </c>
      <c r="AH51" s="163">
        <f t="shared" si="8"/>
        <v>1139.2</v>
      </c>
      <c r="AI51" s="158">
        <f t="shared" si="9"/>
        <v>11.14</v>
      </c>
      <c r="AJ51" s="159">
        <f t="shared" si="10"/>
        <v>1000</v>
      </c>
      <c r="AK51" s="158">
        <f t="shared" si="11"/>
        <v>2150.34</v>
      </c>
      <c r="AL51" s="158">
        <f t="shared" si="12"/>
        <v>1</v>
      </c>
      <c r="AM51" s="158">
        <f t="shared" si="13"/>
        <v>2150.34</v>
      </c>
      <c r="AN51" s="159">
        <f t="shared" ca="1" si="14"/>
        <v>28</v>
      </c>
      <c r="AO51" s="158">
        <f t="shared" ca="1" si="15"/>
        <v>1139.2</v>
      </c>
      <c r="AP51" s="159">
        <f t="shared" ca="1" si="16"/>
        <v>28.352213702696019</v>
      </c>
      <c r="AQ51" s="158">
        <f t="shared" ca="1" si="17"/>
        <v>28</v>
      </c>
      <c r="AR51" s="165">
        <f t="shared" ca="1" si="18"/>
        <v>11.14</v>
      </c>
      <c r="AS51" s="236">
        <f t="shared" ca="1" si="19"/>
        <v>28.073289473684209</v>
      </c>
      <c r="AT51" s="237">
        <f t="shared" ca="1" si="20"/>
        <v>28</v>
      </c>
      <c r="AU51" s="165">
        <f t="shared" ca="1" si="21"/>
        <v>28</v>
      </c>
      <c r="AV51" s="231">
        <f t="shared" ca="1" si="22"/>
        <v>28.007099391480729</v>
      </c>
      <c r="AW51" s="68">
        <f t="shared" si="23"/>
        <v>2150.34</v>
      </c>
      <c r="AX51" s="69">
        <f t="shared" si="24"/>
        <v>1</v>
      </c>
      <c r="AY51" s="69">
        <f t="shared" ca="1" si="25"/>
        <v>0</v>
      </c>
      <c r="AZ51" s="70">
        <f t="shared" ca="1" si="26"/>
        <v>28</v>
      </c>
      <c r="BA51" s="71">
        <f t="shared" ca="1" si="27"/>
        <v>28</v>
      </c>
      <c r="BC51" s="87">
        <f t="shared" ca="1" si="28"/>
        <v>1</v>
      </c>
      <c r="BD51" s="88">
        <v>43</v>
      </c>
      <c r="BE51" s="31">
        <f t="shared" ca="1" si="29"/>
        <v>28.050999999999998</v>
      </c>
      <c r="BF51" s="32">
        <f t="shared" ca="1" si="30"/>
        <v>28</v>
      </c>
      <c r="BG51" s="31" t="str">
        <f t="shared" si="31"/>
        <v>C.J. Hooker X</v>
      </c>
      <c r="BH51" s="33">
        <f t="shared" ca="1" si="32"/>
        <v>28</v>
      </c>
      <c r="BI51" s="31">
        <f t="shared" ca="1" si="33"/>
        <v>28</v>
      </c>
      <c r="BJ51" s="97" t="str">
        <f t="shared" ca="1" si="34"/>
        <v/>
      </c>
      <c r="BK51" s="98" t="str">
        <f t="shared" ca="1" si="35"/>
        <v/>
      </c>
    </row>
    <row r="52" spans="2:63" x14ac:dyDescent="0.25">
      <c r="B52" s="46">
        <v>44</v>
      </c>
      <c r="C52" s="246" t="s">
        <v>107</v>
      </c>
      <c r="D52" s="47"/>
      <c r="E52" s="38"/>
      <c r="F52" s="190" t="s">
        <v>125</v>
      </c>
      <c r="G52" s="131">
        <v>0</v>
      </c>
      <c r="H52" s="49">
        <v>0</v>
      </c>
      <c r="I52" s="45">
        <v>0</v>
      </c>
      <c r="J52" s="122">
        <v>45.8</v>
      </c>
      <c r="K52" s="48">
        <v>4.5540000000000003</v>
      </c>
      <c r="L52" s="111"/>
      <c r="M52" s="126"/>
      <c r="N52" s="195" t="s">
        <v>126</v>
      </c>
      <c r="O52" s="131" t="s">
        <v>126</v>
      </c>
      <c r="P52" s="107">
        <v>0</v>
      </c>
      <c r="Q52" s="45">
        <v>0</v>
      </c>
      <c r="R52" s="122">
        <v>15.8</v>
      </c>
      <c r="S52" s="111">
        <v>4.5350000000000001</v>
      </c>
      <c r="T52" s="114"/>
      <c r="U52" s="114"/>
      <c r="V52" s="195" t="s">
        <v>126</v>
      </c>
      <c r="W52" s="138" t="s">
        <v>126</v>
      </c>
      <c r="X52" s="144" t="s">
        <v>54</v>
      </c>
      <c r="Y52" s="147" t="s">
        <v>127</v>
      </c>
      <c r="Z52" s="161">
        <f t="shared" si="0"/>
        <v>44</v>
      </c>
      <c r="AA52" s="162">
        <f t="shared" si="1"/>
        <v>1</v>
      </c>
      <c r="AB52" s="163">
        <f t="shared" si="2"/>
        <v>183.2</v>
      </c>
      <c r="AC52" s="158">
        <f t="shared" si="3"/>
        <v>9.1</v>
      </c>
      <c r="AD52" s="159">
        <f t="shared" si="4"/>
        <v>0</v>
      </c>
      <c r="AE52" s="158">
        <f t="shared" si="5"/>
        <v>192.29999999999998</v>
      </c>
      <c r="AF52" s="158" t="str">
        <f t="shared" si="6"/>
        <v>-&gt;</v>
      </c>
      <c r="AG52" s="164">
        <f t="shared" si="7"/>
        <v>1</v>
      </c>
      <c r="AH52" s="163">
        <f t="shared" si="8"/>
        <v>63.2</v>
      </c>
      <c r="AI52" s="158">
        <f t="shared" si="9"/>
        <v>9.08</v>
      </c>
      <c r="AJ52" s="159">
        <f t="shared" si="10"/>
        <v>0</v>
      </c>
      <c r="AK52" s="158">
        <f t="shared" si="11"/>
        <v>72.28</v>
      </c>
      <c r="AL52" s="158">
        <f t="shared" si="12"/>
        <v>1</v>
      </c>
      <c r="AM52" s="158">
        <f t="shared" si="13"/>
        <v>72.28</v>
      </c>
      <c r="AN52" s="159">
        <f t="shared" ca="1" si="14"/>
        <v>8</v>
      </c>
      <c r="AO52" s="158">
        <f t="shared" ca="1" si="15"/>
        <v>63.2</v>
      </c>
      <c r="AP52" s="159">
        <f t="shared" ca="1" si="16"/>
        <v>8.0195399455849614</v>
      </c>
      <c r="AQ52" s="158">
        <f t="shared" ca="1" si="17"/>
        <v>8</v>
      </c>
      <c r="AR52" s="165">
        <f t="shared" ca="1" si="18"/>
        <v>9.08</v>
      </c>
      <c r="AS52" s="236">
        <f t="shared" ca="1" si="19"/>
        <v>8.0597368421052629</v>
      </c>
      <c r="AT52" s="237">
        <f t="shared" ca="1" si="20"/>
        <v>8</v>
      </c>
      <c r="AU52" s="165">
        <f t="shared" ca="1" si="21"/>
        <v>8</v>
      </c>
      <c r="AV52" s="231">
        <f t="shared" ca="1" si="22"/>
        <v>8.0020283975659225</v>
      </c>
      <c r="AW52" s="68">
        <f t="shared" si="23"/>
        <v>72.28</v>
      </c>
      <c r="AX52" s="69">
        <f t="shared" si="24"/>
        <v>1</v>
      </c>
      <c r="AY52" s="69">
        <f t="shared" ca="1" si="25"/>
        <v>0</v>
      </c>
      <c r="AZ52" s="70">
        <f t="shared" ca="1" si="26"/>
        <v>8</v>
      </c>
      <c r="BA52" s="71">
        <f t="shared" ca="1" si="27"/>
        <v>8</v>
      </c>
      <c r="BC52" s="87">
        <f t="shared" ca="1" si="28"/>
        <v>1</v>
      </c>
      <c r="BD52" s="88">
        <v>44</v>
      </c>
      <c r="BE52" s="31">
        <f t="shared" ca="1" si="29"/>
        <v>8.0519999999999996</v>
      </c>
      <c r="BF52" s="32">
        <f t="shared" ca="1" si="30"/>
        <v>8</v>
      </c>
      <c r="BG52" s="31" t="str">
        <f t="shared" si="31"/>
        <v>C.J. Hooker Y</v>
      </c>
      <c r="BH52" s="33">
        <f t="shared" ca="1" si="32"/>
        <v>8</v>
      </c>
      <c r="BI52" s="31">
        <f t="shared" ca="1" si="33"/>
        <v>8</v>
      </c>
      <c r="BJ52" s="97" t="str">
        <f t="shared" ca="1" si="34"/>
        <v/>
      </c>
      <c r="BK52" s="98" t="str">
        <f t="shared" ca="1" si="35"/>
        <v/>
      </c>
    </row>
    <row r="53" spans="2:63" x14ac:dyDescent="0.25">
      <c r="B53" s="46">
        <v>45</v>
      </c>
      <c r="C53" s="246" t="s">
        <v>108</v>
      </c>
      <c r="D53" s="47"/>
      <c r="E53" s="38"/>
      <c r="F53" s="190"/>
      <c r="G53" s="131"/>
      <c r="H53" s="49"/>
      <c r="I53" s="45"/>
      <c r="J53" s="122"/>
      <c r="K53" s="48"/>
      <c r="L53" s="111"/>
      <c r="M53" s="126"/>
      <c r="N53" s="195"/>
      <c r="O53" s="131"/>
      <c r="P53" s="107"/>
      <c r="Q53" s="45"/>
      <c r="R53" s="122"/>
      <c r="S53" s="111"/>
      <c r="T53" s="114"/>
      <c r="U53" s="114"/>
      <c r="V53" s="195"/>
      <c r="W53" s="138"/>
      <c r="X53" s="144"/>
      <c r="Y53" s="147"/>
      <c r="Z53" s="161">
        <f t="shared" si="0"/>
        <v>45</v>
      </c>
      <c r="AA53" s="162" t="str">
        <f t="shared" si="1"/>
        <v>NS</v>
      </c>
      <c r="AB53" s="163" t="str">
        <f t="shared" si="2"/>
        <v>NS</v>
      </c>
      <c r="AC53" s="158" t="str">
        <f t="shared" si="3"/>
        <v>NS</v>
      </c>
      <c r="AD53" s="159" t="str">
        <f t="shared" si="4"/>
        <v>NS</v>
      </c>
      <c r="AE53" s="158" t="str">
        <f t="shared" si="5"/>
        <v>NS</v>
      </c>
      <c r="AF53" s="158" t="str">
        <f t="shared" si="6"/>
        <v>NS</v>
      </c>
      <c r="AG53" s="164" t="str">
        <f t="shared" si="7"/>
        <v>NS</v>
      </c>
      <c r="AH53" s="163" t="str">
        <f t="shared" si="8"/>
        <v>NS</v>
      </c>
      <c r="AI53" s="158" t="str">
        <f t="shared" si="9"/>
        <v>NS</v>
      </c>
      <c r="AJ53" s="159" t="str">
        <f t="shared" si="10"/>
        <v>NS</v>
      </c>
      <c r="AK53" s="158" t="str">
        <f t="shared" si="11"/>
        <v>NS</v>
      </c>
      <c r="AL53" s="158" t="str">
        <f t="shared" si="12"/>
        <v>NS</v>
      </c>
      <c r="AM53" s="158" t="str">
        <f t="shared" si="13"/>
        <v>NS</v>
      </c>
      <c r="AN53" s="159" t="str">
        <f t="shared" ca="1" si="14"/>
        <v>NS</v>
      </c>
      <c r="AO53" s="158" t="str">
        <f t="shared" ca="1" si="15"/>
        <v>NS</v>
      </c>
      <c r="AP53" s="159" t="str">
        <f t="shared" ca="1" si="16"/>
        <v>NS</v>
      </c>
      <c r="AQ53" s="158" t="str">
        <f t="shared" ca="1" si="17"/>
        <v>NS</v>
      </c>
      <c r="AR53" s="165" t="str">
        <f t="shared" ca="1" si="18"/>
        <v>NS</v>
      </c>
      <c r="AS53" s="236" t="str">
        <f t="shared" ca="1" si="19"/>
        <v>NS</v>
      </c>
      <c r="AT53" s="237" t="str">
        <f t="shared" ca="1" si="20"/>
        <v>NS</v>
      </c>
      <c r="AU53" s="165" t="str">
        <f t="shared" ca="1" si="21"/>
        <v>NS</v>
      </c>
      <c r="AV53" s="231" t="str">
        <f t="shared" ca="1" si="22"/>
        <v>NS</v>
      </c>
      <c r="AW53" s="68" t="str">
        <f t="shared" si="23"/>
        <v>NS</v>
      </c>
      <c r="AX53" s="69" t="str">
        <f t="shared" si="24"/>
        <v>NS</v>
      </c>
      <c r="AY53" s="69" t="str">
        <f t="shared" ca="1" si="25"/>
        <v>NS</v>
      </c>
      <c r="AZ53" s="70" t="str">
        <f t="shared" ca="1" si="26"/>
        <v>NS</v>
      </c>
      <c r="BA53" s="71">
        <f t="shared" ca="1" si="27"/>
        <v>61</v>
      </c>
      <c r="BC53" s="87">
        <f t="shared" ca="1" si="28"/>
        <v>0</v>
      </c>
      <c r="BD53" s="88">
        <v>45</v>
      </c>
      <c r="BE53" s="31">
        <f t="shared" ca="1" si="29"/>
        <v>61.052999999999997</v>
      </c>
      <c r="BF53" s="32">
        <f t="shared" ca="1" si="30"/>
        <v>52</v>
      </c>
      <c r="BG53" s="31" t="str">
        <f t="shared" si="31"/>
        <v>Twin Valley</v>
      </c>
      <c r="BH53" s="33">
        <f t="shared" ca="1" si="32"/>
        <v>61</v>
      </c>
      <c r="BI53" s="31" t="str">
        <f t="shared" ca="1" si="33"/>
        <v>NS</v>
      </c>
      <c r="BJ53" s="97" t="str">
        <f t="shared" ca="1" si="34"/>
        <v/>
      </c>
      <c r="BK53" s="98" t="str">
        <f t="shared" ca="1" si="35"/>
        <v/>
      </c>
    </row>
    <row r="54" spans="2:63" x14ac:dyDescent="0.25">
      <c r="B54" s="51">
        <v>46</v>
      </c>
      <c r="C54" s="247" t="s">
        <v>109</v>
      </c>
      <c r="D54" s="53"/>
      <c r="E54" s="37"/>
      <c r="F54" s="191" t="s">
        <v>125</v>
      </c>
      <c r="G54" s="132">
        <v>0</v>
      </c>
      <c r="H54" s="56">
        <v>0</v>
      </c>
      <c r="I54" s="54">
        <v>0</v>
      </c>
      <c r="J54" s="123">
        <v>6.6</v>
      </c>
      <c r="K54" s="55">
        <v>38</v>
      </c>
      <c r="L54" s="112">
        <v>39.93</v>
      </c>
      <c r="M54" s="127">
        <v>36.659999999999997</v>
      </c>
      <c r="N54" s="196" t="s">
        <v>125</v>
      </c>
      <c r="O54" s="132" t="s">
        <v>126</v>
      </c>
      <c r="P54" s="108">
        <v>0</v>
      </c>
      <c r="Q54" s="54">
        <v>0</v>
      </c>
      <c r="R54" s="123">
        <v>40.799999999999997</v>
      </c>
      <c r="S54" s="112">
        <v>41.113</v>
      </c>
      <c r="T54" s="115"/>
      <c r="U54" s="115"/>
      <c r="V54" s="196" t="s">
        <v>124</v>
      </c>
      <c r="W54" s="139" t="s">
        <v>126</v>
      </c>
      <c r="X54" s="145" t="s">
        <v>54</v>
      </c>
      <c r="Y54" s="148" t="s">
        <v>126</v>
      </c>
      <c r="Z54" s="166">
        <f t="shared" si="0"/>
        <v>46</v>
      </c>
      <c r="AA54" s="167">
        <f t="shared" si="1"/>
        <v>1</v>
      </c>
      <c r="AB54" s="168">
        <f t="shared" si="2"/>
        <v>26.4</v>
      </c>
      <c r="AC54" s="169">
        <f t="shared" si="3"/>
        <v>76</v>
      </c>
      <c r="AD54" s="170">
        <f t="shared" si="4"/>
        <v>0</v>
      </c>
      <c r="AE54" s="169">
        <f t="shared" si="5"/>
        <v>77.400000000000006</v>
      </c>
      <c r="AF54" s="169" t="str">
        <f t="shared" si="6"/>
        <v>&lt;-</v>
      </c>
      <c r="AG54" s="171">
        <f t="shared" si="7"/>
        <v>1</v>
      </c>
      <c r="AH54" s="168">
        <f t="shared" si="8"/>
        <v>163.19999999999999</v>
      </c>
      <c r="AI54" s="169">
        <f t="shared" si="9"/>
        <v>82.22</v>
      </c>
      <c r="AJ54" s="170">
        <f t="shared" si="10"/>
        <v>0</v>
      </c>
      <c r="AK54" s="169">
        <f t="shared" si="11"/>
        <v>220.42</v>
      </c>
      <c r="AL54" s="169">
        <f t="shared" si="12"/>
        <v>1</v>
      </c>
      <c r="AM54" s="169">
        <f t="shared" si="13"/>
        <v>77.400000000000006</v>
      </c>
      <c r="AN54" s="170">
        <f t="shared" ca="1" si="14"/>
        <v>9</v>
      </c>
      <c r="AO54" s="169">
        <f t="shared" ca="1" si="15"/>
        <v>26.4</v>
      </c>
      <c r="AP54" s="170">
        <f t="shared" ca="1" si="16"/>
        <v>9.0081622557506797</v>
      </c>
      <c r="AQ54" s="169">
        <f t="shared" ca="1" si="17"/>
        <v>9</v>
      </c>
      <c r="AR54" s="172">
        <f t="shared" ca="1" si="18"/>
        <v>76</v>
      </c>
      <c r="AS54" s="238">
        <f t="shared" ca="1" si="19"/>
        <v>9.5</v>
      </c>
      <c r="AT54" s="239">
        <f t="shared" ca="1" si="20"/>
        <v>9</v>
      </c>
      <c r="AU54" s="172">
        <f t="shared" ca="1" si="21"/>
        <v>163.19999999999999</v>
      </c>
      <c r="AV54" s="232">
        <f t="shared" ca="1" si="22"/>
        <v>9.0413793103448281</v>
      </c>
      <c r="AW54" s="72">
        <f t="shared" si="23"/>
        <v>77.400000000000006</v>
      </c>
      <c r="AX54" s="73">
        <f t="shared" si="24"/>
        <v>1</v>
      </c>
      <c r="AY54" s="73">
        <f t="shared" ca="1" si="25"/>
        <v>0</v>
      </c>
      <c r="AZ54" s="74">
        <f t="shared" ca="1" si="26"/>
        <v>9</v>
      </c>
      <c r="BA54" s="75">
        <f t="shared" ca="1" si="27"/>
        <v>9</v>
      </c>
      <c r="BC54" s="89">
        <f t="shared" ca="1" si="28"/>
        <v>1</v>
      </c>
      <c r="BD54" s="90">
        <v>46</v>
      </c>
      <c r="BE54" s="27">
        <f t="shared" ca="1" si="29"/>
        <v>9.0540000000000003</v>
      </c>
      <c r="BF54" s="28">
        <f t="shared" ca="1" si="30"/>
        <v>9</v>
      </c>
      <c r="BG54" s="27" t="str">
        <f t="shared" si="31"/>
        <v>Louise Archer</v>
      </c>
      <c r="BH54" s="29">
        <f t="shared" ca="1" si="32"/>
        <v>9</v>
      </c>
      <c r="BI54" s="27">
        <f t="shared" ca="1" si="33"/>
        <v>9</v>
      </c>
      <c r="BJ54" s="99" t="str">
        <f t="shared" ca="1" si="34"/>
        <v/>
      </c>
      <c r="BK54" s="100" t="str">
        <f t="shared" ca="1" si="35"/>
        <v/>
      </c>
    </row>
    <row r="55" spans="2:63" x14ac:dyDescent="0.25">
      <c r="B55" s="51">
        <v>47</v>
      </c>
      <c r="C55" s="247" t="s">
        <v>110</v>
      </c>
      <c r="D55" s="53"/>
      <c r="E55" s="37"/>
      <c r="F55" s="191" t="s">
        <v>125</v>
      </c>
      <c r="G55" s="132">
        <v>0</v>
      </c>
      <c r="H55" s="56">
        <v>0</v>
      </c>
      <c r="I55" s="54">
        <v>0</v>
      </c>
      <c r="J55" s="123">
        <v>61.6</v>
      </c>
      <c r="K55" s="55">
        <v>8.5790000000000006</v>
      </c>
      <c r="L55" s="112"/>
      <c r="M55" s="127"/>
      <c r="N55" s="196" t="s">
        <v>126</v>
      </c>
      <c r="O55" s="132" t="s">
        <v>126</v>
      </c>
      <c r="P55" s="108">
        <v>0</v>
      </c>
      <c r="Q55" s="54">
        <v>0</v>
      </c>
      <c r="R55" s="123">
        <v>26.7</v>
      </c>
      <c r="S55" s="112">
        <v>8.3689999999999998</v>
      </c>
      <c r="T55" s="115"/>
      <c r="U55" s="115"/>
      <c r="V55" s="196" t="s">
        <v>126</v>
      </c>
      <c r="W55" s="139" t="s">
        <v>126</v>
      </c>
      <c r="X55" s="145" t="s">
        <v>54</v>
      </c>
      <c r="Y55" s="148" t="s">
        <v>126</v>
      </c>
      <c r="Z55" s="166">
        <f t="shared" si="0"/>
        <v>47</v>
      </c>
      <c r="AA55" s="167">
        <f t="shared" si="1"/>
        <v>1</v>
      </c>
      <c r="AB55" s="168">
        <f t="shared" si="2"/>
        <v>246.4</v>
      </c>
      <c r="AC55" s="169">
        <f t="shared" si="3"/>
        <v>17.16</v>
      </c>
      <c r="AD55" s="170">
        <f t="shared" si="4"/>
        <v>0</v>
      </c>
      <c r="AE55" s="169">
        <f t="shared" si="5"/>
        <v>263.56</v>
      </c>
      <c r="AF55" s="169" t="str">
        <f t="shared" si="6"/>
        <v>-&gt;</v>
      </c>
      <c r="AG55" s="171">
        <f t="shared" si="7"/>
        <v>1</v>
      </c>
      <c r="AH55" s="168">
        <f t="shared" si="8"/>
        <v>106.8</v>
      </c>
      <c r="AI55" s="169">
        <f t="shared" si="9"/>
        <v>16.739999999999998</v>
      </c>
      <c r="AJ55" s="170">
        <f t="shared" si="10"/>
        <v>0</v>
      </c>
      <c r="AK55" s="169">
        <f t="shared" si="11"/>
        <v>123.53999999999999</v>
      </c>
      <c r="AL55" s="169">
        <f t="shared" si="12"/>
        <v>1</v>
      </c>
      <c r="AM55" s="169">
        <f t="shared" si="13"/>
        <v>123.53999999999999</v>
      </c>
      <c r="AN55" s="170">
        <f t="shared" ca="1" si="14"/>
        <v>14</v>
      </c>
      <c r="AO55" s="169">
        <f t="shared" ca="1" si="15"/>
        <v>106.8</v>
      </c>
      <c r="AP55" s="170">
        <f t="shared" ca="1" si="16"/>
        <v>14.033020034627752</v>
      </c>
      <c r="AQ55" s="169">
        <f t="shared" ca="1" si="17"/>
        <v>14</v>
      </c>
      <c r="AR55" s="172">
        <f t="shared" ca="1" si="18"/>
        <v>16.739999999999998</v>
      </c>
      <c r="AS55" s="238">
        <f t="shared" ca="1" si="19"/>
        <v>14.110131578947369</v>
      </c>
      <c r="AT55" s="239">
        <f t="shared" ca="1" si="20"/>
        <v>14</v>
      </c>
      <c r="AU55" s="172">
        <f t="shared" ca="1" si="21"/>
        <v>14</v>
      </c>
      <c r="AV55" s="232">
        <f t="shared" ca="1" si="22"/>
        <v>14.003549695740364</v>
      </c>
      <c r="AW55" s="72">
        <f t="shared" si="23"/>
        <v>123.53999999999999</v>
      </c>
      <c r="AX55" s="73">
        <f t="shared" si="24"/>
        <v>1</v>
      </c>
      <c r="AY55" s="73">
        <f t="shared" ca="1" si="25"/>
        <v>0</v>
      </c>
      <c r="AZ55" s="74">
        <f t="shared" ca="1" si="26"/>
        <v>14</v>
      </c>
      <c r="BA55" s="75">
        <f t="shared" ca="1" si="27"/>
        <v>14</v>
      </c>
      <c r="BC55" s="89">
        <f t="shared" ca="1" si="28"/>
        <v>1</v>
      </c>
      <c r="BD55" s="90">
        <v>47</v>
      </c>
      <c r="BE55" s="27">
        <f t="shared" ca="1" si="29"/>
        <v>14.055</v>
      </c>
      <c r="BF55" s="28">
        <f t="shared" ca="1" si="30"/>
        <v>14</v>
      </c>
      <c r="BG55" s="27" t="str">
        <f t="shared" si="31"/>
        <v>Hershey X</v>
      </c>
      <c r="BH55" s="29">
        <f t="shared" ca="1" si="32"/>
        <v>14</v>
      </c>
      <c r="BI55" s="27">
        <f t="shared" ca="1" si="33"/>
        <v>14</v>
      </c>
      <c r="BJ55" s="99" t="str">
        <f t="shared" ca="1" si="34"/>
        <v/>
      </c>
      <c r="BK55" s="100" t="str">
        <f t="shared" ca="1" si="35"/>
        <v/>
      </c>
    </row>
    <row r="56" spans="2:63" x14ac:dyDescent="0.25">
      <c r="B56" s="51">
        <v>48</v>
      </c>
      <c r="C56" s="247" t="s">
        <v>111</v>
      </c>
      <c r="D56" s="53"/>
      <c r="E56" s="37"/>
      <c r="F56" s="191"/>
      <c r="G56" s="132"/>
      <c r="H56" s="56"/>
      <c r="I56" s="54"/>
      <c r="J56" s="123"/>
      <c r="K56" s="55"/>
      <c r="L56" s="112"/>
      <c r="M56" s="127"/>
      <c r="N56" s="196"/>
      <c r="O56" s="132"/>
      <c r="P56" s="108"/>
      <c r="Q56" s="54"/>
      <c r="R56" s="123"/>
      <c r="S56" s="112"/>
      <c r="T56" s="115"/>
      <c r="U56" s="115"/>
      <c r="V56" s="196"/>
      <c r="W56" s="139"/>
      <c r="X56" s="145"/>
      <c r="Y56" s="148"/>
      <c r="Z56" s="166">
        <f t="shared" si="0"/>
        <v>48</v>
      </c>
      <c r="AA56" s="167" t="str">
        <f t="shared" si="1"/>
        <v>NS</v>
      </c>
      <c r="AB56" s="168" t="str">
        <f t="shared" si="2"/>
        <v>NS</v>
      </c>
      <c r="AC56" s="169" t="str">
        <f t="shared" si="3"/>
        <v>NS</v>
      </c>
      <c r="AD56" s="170" t="str">
        <f t="shared" si="4"/>
        <v>NS</v>
      </c>
      <c r="AE56" s="169" t="str">
        <f t="shared" si="5"/>
        <v>NS</v>
      </c>
      <c r="AF56" s="169" t="str">
        <f t="shared" si="6"/>
        <v>NS</v>
      </c>
      <c r="AG56" s="171" t="str">
        <f t="shared" si="7"/>
        <v>NS</v>
      </c>
      <c r="AH56" s="168" t="str">
        <f t="shared" si="8"/>
        <v>NS</v>
      </c>
      <c r="AI56" s="169" t="str">
        <f t="shared" si="9"/>
        <v>NS</v>
      </c>
      <c r="AJ56" s="170" t="str">
        <f t="shared" si="10"/>
        <v>NS</v>
      </c>
      <c r="AK56" s="169" t="str">
        <f t="shared" si="11"/>
        <v>NS</v>
      </c>
      <c r="AL56" s="169" t="str">
        <f t="shared" si="12"/>
        <v>NS</v>
      </c>
      <c r="AM56" s="169" t="str">
        <f t="shared" si="13"/>
        <v>NS</v>
      </c>
      <c r="AN56" s="170" t="str">
        <f t="shared" ca="1" si="14"/>
        <v>NS</v>
      </c>
      <c r="AO56" s="169" t="str">
        <f t="shared" ca="1" si="15"/>
        <v>NS</v>
      </c>
      <c r="AP56" s="170" t="str">
        <f t="shared" ca="1" si="16"/>
        <v>NS</v>
      </c>
      <c r="AQ56" s="169" t="str">
        <f t="shared" ca="1" si="17"/>
        <v>NS</v>
      </c>
      <c r="AR56" s="172" t="str">
        <f t="shared" ca="1" si="18"/>
        <v>NS</v>
      </c>
      <c r="AS56" s="238" t="str">
        <f t="shared" ca="1" si="19"/>
        <v>NS</v>
      </c>
      <c r="AT56" s="239" t="str">
        <f t="shared" ca="1" si="20"/>
        <v>NS</v>
      </c>
      <c r="AU56" s="172" t="str">
        <f t="shared" ca="1" si="21"/>
        <v>NS</v>
      </c>
      <c r="AV56" s="232" t="str">
        <f t="shared" ca="1" si="22"/>
        <v>NS</v>
      </c>
      <c r="AW56" s="72" t="str">
        <f t="shared" si="23"/>
        <v>NS</v>
      </c>
      <c r="AX56" s="73" t="str">
        <f t="shared" si="24"/>
        <v>NS</v>
      </c>
      <c r="AY56" s="73" t="str">
        <f t="shared" ca="1" si="25"/>
        <v>NS</v>
      </c>
      <c r="AZ56" s="74" t="str">
        <f t="shared" ca="1" si="26"/>
        <v>NS</v>
      </c>
      <c r="BA56" s="75">
        <f t="shared" ca="1" si="27"/>
        <v>61</v>
      </c>
      <c r="BC56" s="89">
        <f t="shared" ca="1" si="28"/>
        <v>0</v>
      </c>
      <c r="BD56" s="90">
        <v>48</v>
      </c>
      <c r="BE56" s="27">
        <f t="shared" ca="1" si="29"/>
        <v>61.055999999999997</v>
      </c>
      <c r="BF56" s="28">
        <f t="shared" ca="1" si="30"/>
        <v>53</v>
      </c>
      <c r="BG56" s="27" t="str">
        <f t="shared" si="31"/>
        <v>Hershey Y</v>
      </c>
      <c r="BH56" s="29">
        <f t="shared" ca="1" si="32"/>
        <v>61</v>
      </c>
      <c r="BI56" s="27" t="str">
        <f t="shared" ca="1" si="33"/>
        <v>NS</v>
      </c>
      <c r="BJ56" s="99" t="str">
        <f t="shared" ca="1" si="34"/>
        <v/>
      </c>
      <c r="BK56" s="100" t="str">
        <f t="shared" ca="1" si="35"/>
        <v/>
      </c>
    </row>
    <row r="57" spans="2:63" x14ac:dyDescent="0.25">
      <c r="B57" s="46">
        <v>49</v>
      </c>
      <c r="C57" s="246" t="s">
        <v>112</v>
      </c>
      <c r="D57" s="47"/>
      <c r="E57" s="38"/>
      <c r="F57" s="190"/>
      <c r="G57" s="131"/>
      <c r="H57" s="49"/>
      <c r="I57" s="45"/>
      <c r="J57" s="122"/>
      <c r="K57" s="48"/>
      <c r="L57" s="111"/>
      <c r="M57" s="126"/>
      <c r="N57" s="195"/>
      <c r="O57" s="131"/>
      <c r="P57" s="107"/>
      <c r="Q57" s="45"/>
      <c r="R57" s="122"/>
      <c r="S57" s="111"/>
      <c r="T57" s="114"/>
      <c r="U57" s="114"/>
      <c r="V57" s="195"/>
      <c r="W57" s="138"/>
      <c r="X57" s="144"/>
      <c r="Y57" s="147"/>
      <c r="Z57" s="161">
        <f t="shared" si="0"/>
        <v>49</v>
      </c>
      <c r="AA57" s="162" t="str">
        <f t="shared" si="1"/>
        <v>NS</v>
      </c>
      <c r="AB57" s="163" t="str">
        <f t="shared" si="2"/>
        <v>NS</v>
      </c>
      <c r="AC57" s="158" t="str">
        <f t="shared" si="3"/>
        <v>NS</v>
      </c>
      <c r="AD57" s="159" t="str">
        <f t="shared" si="4"/>
        <v>NS</v>
      </c>
      <c r="AE57" s="158" t="str">
        <f t="shared" si="5"/>
        <v>NS</v>
      </c>
      <c r="AF57" s="158" t="str">
        <f t="shared" si="6"/>
        <v>NS</v>
      </c>
      <c r="AG57" s="164" t="str">
        <f t="shared" si="7"/>
        <v>NS</v>
      </c>
      <c r="AH57" s="163" t="str">
        <f t="shared" si="8"/>
        <v>NS</v>
      </c>
      <c r="AI57" s="158" t="str">
        <f t="shared" si="9"/>
        <v>NS</v>
      </c>
      <c r="AJ57" s="159" t="str">
        <f t="shared" si="10"/>
        <v>NS</v>
      </c>
      <c r="AK57" s="158" t="str">
        <f t="shared" si="11"/>
        <v>NS</v>
      </c>
      <c r="AL57" s="158" t="str">
        <f t="shared" si="12"/>
        <v>NS</v>
      </c>
      <c r="AM57" s="158" t="str">
        <f t="shared" si="13"/>
        <v>NS</v>
      </c>
      <c r="AN57" s="159" t="str">
        <f t="shared" ca="1" si="14"/>
        <v>NS</v>
      </c>
      <c r="AO57" s="158" t="str">
        <f t="shared" ca="1" si="15"/>
        <v>NS</v>
      </c>
      <c r="AP57" s="159" t="str">
        <f t="shared" ca="1" si="16"/>
        <v>NS</v>
      </c>
      <c r="AQ57" s="158" t="str">
        <f t="shared" ca="1" si="17"/>
        <v>NS</v>
      </c>
      <c r="AR57" s="165" t="str">
        <f t="shared" ca="1" si="18"/>
        <v>NS</v>
      </c>
      <c r="AS57" s="236" t="str">
        <f t="shared" ca="1" si="19"/>
        <v>NS</v>
      </c>
      <c r="AT57" s="237" t="str">
        <f t="shared" ca="1" si="20"/>
        <v>NS</v>
      </c>
      <c r="AU57" s="165" t="str">
        <f t="shared" ca="1" si="21"/>
        <v>NS</v>
      </c>
      <c r="AV57" s="231" t="str">
        <f t="shared" ca="1" si="22"/>
        <v>NS</v>
      </c>
      <c r="AW57" s="68" t="str">
        <f t="shared" si="23"/>
        <v>NS</v>
      </c>
      <c r="AX57" s="69" t="str">
        <f t="shared" si="24"/>
        <v>NS</v>
      </c>
      <c r="AY57" s="69" t="str">
        <f t="shared" ca="1" si="25"/>
        <v>NS</v>
      </c>
      <c r="AZ57" s="70" t="str">
        <f t="shared" ca="1" si="26"/>
        <v>NS</v>
      </c>
      <c r="BA57" s="71">
        <f t="shared" ca="1" si="27"/>
        <v>61</v>
      </c>
      <c r="BC57" s="87">
        <f t="shared" ca="1" si="28"/>
        <v>0</v>
      </c>
      <c r="BD57" s="88">
        <v>49</v>
      </c>
      <c r="BE57" s="31">
        <f t="shared" ca="1" si="29"/>
        <v>61.057000000000002</v>
      </c>
      <c r="BF57" s="32">
        <f t="shared" ca="1" si="30"/>
        <v>54</v>
      </c>
      <c r="BG57" s="31" t="str">
        <f t="shared" si="31"/>
        <v>Haverford</v>
      </c>
      <c r="BH57" s="33">
        <f t="shared" ca="1" si="32"/>
        <v>61</v>
      </c>
      <c r="BI57" s="31" t="str">
        <f t="shared" ca="1" si="33"/>
        <v>NS</v>
      </c>
      <c r="BJ57" s="97" t="str">
        <f t="shared" ca="1" si="34"/>
        <v/>
      </c>
      <c r="BK57" s="98" t="str">
        <f t="shared" ca="1" si="35"/>
        <v/>
      </c>
    </row>
    <row r="58" spans="2:63" x14ac:dyDescent="0.25">
      <c r="B58" s="46">
        <v>50</v>
      </c>
      <c r="C58" s="246" t="s">
        <v>113</v>
      </c>
      <c r="D58" s="47"/>
      <c r="E58" s="38"/>
      <c r="F58" s="190"/>
      <c r="G58" s="131"/>
      <c r="H58" s="49"/>
      <c r="I58" s="45"/>
      <c r="J58" s="122"/>
      <c r="K58" s="48"/>
      <c r="L58" s="111"/>
      <c r="M58" s="126"/>
      <c r="N58" s="195"/>
      <c r="O58" s="131"/>
      <c r="P58" s="107"/>
      <c r="Q58" s="45"/>
      <c r="R58" s="122"/>
      <c r="S58" s="111"/>
      <c r="T58" s="114"/>
      <c r="U58" s="114"/>
      <c r="V58" s="195"/>
      <c r="W58" s="138"/>
      <c r="X58" s="144"/>
      <c r="Y58" s="147"/>
      <c r="Z58" s="161">
        <f t="shared" si="0"/>
        <v>50</v>
      </c>
      <c r="AA58" s="162" t="str">
        <f t="shared" si="1"/>
        <v>NS</v>
      </c>
      <c r="AB58" s="163" t="str">
        <f t="shared" si="2"/>
        <v>NS</v>
      </c>
      <c r="AC58" s="158" t="str">
        <f t="shared" si="3"/>
        <v>NS</v>
      </c>
      <c r="AD58" s="159" t="str">
        <f t="shared" si="4"/>
        <v>NS</v>
      </c>
      <c r="AE58" s="158" t="str">
        <f t="shared" si="5"/>
        <v>NS</v>
      </c>
      <c r="AF58" s="158" t="str">
        <f t="shared" si="6"/>
        <v>NS</v>
      </c>
      <c r="AG58" s="164" t="str">
        <f t="shared" si="7"/>
        <v>NS</v>
      </c>
      <c r="AH58" s="163" t="str">
        <f t="shared" si="8"/>
        <v>NS</v>
      </c>
      <c r="AI58" s="158" t="str">
        <f t="shared" si="9"/>
        <v>NS</v>
      </c>
      <c r="AJ58" s="159" t="str">
        <f t="shared" si="10"/>
        <v>NS</v>
      </c>
      <c r="AK58" s="158" t="str">
        <f t="shared" si="11"/>
        <v>NS</v>
      </c>
      <c r="AL58" s="158" t="str">
        <f t="shared" si="12"/>
        <v>NS</v>
      </c>
      <c r="AM58" s="158" t="str">
        <f t="shared" si="13"/>
        <v>NS</v>
      </c>
      <c r="AN58" s="159" t="str">
        <f t="shared" ca="1" si="14"/>
        <v>NS</v>
      </c>
      <c r="AO58" s="158" t="str">
        <f t="shared" ca="1" si="15"/>
        <v>NS</v>
      </c>
      <c r="AP58" s="159" t="str">
        <f t="shared" ca="1" si="16"/>
        <v>NS</v>
      </c>
      <c r="AQ58" s="158" t="str">
        <f t="shared" ca="1" si="17"/>
        <v>NS</v>
      </c>
      <c r="AR58" s="165" t="str">
        <f t="shared" ca="1" si="18"/>
        <v>NS</v>
      </c>
      <c r="AS58" s="236" t="str">
        <f t="shared" ca="1" si="19"/>
        <v>NS</v>
      </c>
      <c r="AT58" s="237" t="str">
        <f t="shared" ca="1" si="20"/>
        <v>NS</v>
      </c>
      <c r="AU58" s="165" t="str">
        <f t="shared" ca="1" si="21"/>
        <v>NS</v>
      </c>
      <c r="AV58" s="231" t="str">
        <f t="shared" ca="1" si="22"/>
        <v>NS</v>
      </c>
      <c r="AW58" s="68" t="str">
        <f t="shared" si="23"/>
        <v>NS</v>
      </c>
      <c r="AX58" s="69" t="str">
        <f t="shared" si="24"/>
        <v>NS</v>
      </c>
      <c r="AY58" s="69" t="str">
        <f t="shared" ca="1" si="25"/>
        <v>NS</v>
      </c>
      <c r="AZ58" s="70" t="str">
        <f t="shared" ca="1" si="26"/>
        <v>NS</v>
      </c>
      <c r="BA58" s="71">
        <f t="shared" ca="1" si="27"/>
        <v>61</v>
      </c>
      <c r="BC58" s="87">
        <f t="shared" ca="1" si="28"/>
        <v>0</v>
      </c>
      <c r="BD58" s="88">
        <v>50</v>
      </c>
      <c r="BE58" s="31">
        <f t="shared" ca="1" si="29"/>
        <v>61.058</v>
      </c>
      <c r="BF58" s="32">
        <f t="shared" ca="1" si="30"/>
        <v>55</v>
      </c>
      <c r="BG58" s="31" t="str">
        <f t="shared" si="31"/>
        <v>Springtown Lake</v>
      </c>
      <c r="BH58" s="33">
        <f t="shared" ca="1" si="32"/>
        <v>61</v>
      </c>
      <c r="BI58" s="31" t="str">
        <f t="shared" ca="1" si="33"/>
        <v>NS</v>
      </c>
      <c r="BJ58" s="97" t="str">
        <f t="shared" ca="1" si="34"/>
        <v/>
      </c>
      <c r="BK58" s="98" t="str">
        <f t="shared" ca="1" si="35"/>
        <v/>
      </c>
    </row>
    <row r="59" spans="2:63" x14ac:dyDescent="0.25">
      <c r="B59" s="46">
        <v>51</v>
      </c>
      <c r="C59" s="246" t="s">
        <v>114</v>
      </c>
      <c r="D59" s="47"/>
      <c r="E59" s="38"/>
      <c r="F59" s="190"/>
      <c r="G59" s="131"/>
      <c r="H59" s="49"/>
      <c r="I59" s="45"/>
      <c r="J59" s="122"/>
      <c r="K59" s="48"/>
      <c r="L59" s="111"/>
      <c r="M59" s="126"/>
      <c r="N59" s="195"/>
      <c r="O59" s="131" t="s">
        <v>125</v>
      </c>
      <c r="P59" s="107"/>
      <c r="Q59" s="45"/>
      <c r="R59" s="122"/>
      <c r="S59" s="111"/>
      <c r="T59" s="114"/>
      <c r="U59" s="114"/>
      <c r="V59" s="195"/>
      <c r="W59" s="138" t="s">
        <v>125</v>
      </c>
      <c r="X59" s="144"/>
      <c r="Y59" s="147"/>
      <c r="Z59" s="161">
        <f t="shared" si="0"/>
        <v>51</v>
      </c>
      <c r="AA59" s="162" t="str">
        <f t="shared" si="1"/>
        <v>P</v>
      </c>
      <c r="AB59" s="163" t="str">
        <f t="shared" si="2"/>
        <v>P</v>
      </c>
      <c r="AC59" s="158" t="str">
        <f t="shared" si="3"/>
        <v>P</v>
      </c>
      <c r="AD59" s="159" t="str">
        <f t="shared" si="4"/>
        <v>P</v>
      </c>
      <c r="AE59" s="158" t="str">
        <f t="shared" si="5"/>
        <v>P</v>
      </c>
      <c r="AF59" s="158" t="str">
        <f t="shared" si="6"/>
        <v>P</v>
      </c>
      <c r="AG59" s="164" t="str">
        <f t="shared" si="7"/>
        <v>P</v>
      </c>
      <c r="AH59" s="163" t="str">
        <f t="shared" si="8"/>
        <v>P</v>
      </c>
      <c r="AI59" s="158" t="str">
        <f t="shared" si="9"/>
        <v>P</v>
      </c>
      <c r="AJ59" s="159" t="str">
        <f t="shared" si="10"/>
        <v>P</v>
      </c>
      <c r="AK59" s="158" t="str">
        <f t="shared" si="11"/>
        <v>P</v>
      </c>
      <c r="AL59" s="158" t="str">
        <f t="shared" si="12"/>
        <v>P</v>
      </c>
      <c r="AM59" s="158" t="str">
        <f t="shared" si="13"/>
        <v>P</v>
      </c>
      <c r="AN59" s="159" t="str">
        <f t="shared" ca="1" si="14"/>
        <v>P</v>
      </c>
      <c r="AO59" s="158" t="str">
        <f t="shared" ca="1" si="15"/>
        <v>P</v>
      </c>
      <c r="AP59" s="159" t="str">
        <f t="shared" ca="1" si="16"/>
        <v>P</v>
      </c>
      <c r="AQ59" s="158" t="str">
        <f t="shared" ca="1" si="17"/>
        <v>P</v>
      </c>
      <c r="AR59" s="165" t="str">
        <f t="shared" ca="1" si="18"/>
        <v>P</v>
      </c>
      <c r="AS59" s="236" t="str">
        <f t="shared" ca="1" si="19"/>
        <v>P</v>
      </c>
      <c r="AT59" s="237" t="str">
        <f t="shared" ca="1" si="20"/>
        <v>P</v>
      </c>
      <c r="AU59" s="165" t="str">
        <f t="shared" ca="1" si="21"/>
        <v>P</v>
      </c>
      <c r="AV59" s="231" t="str">
        <f t="shared" ca="1" si="22"/>
        <v>P</v>
      </c>
      <c r="AW59" s="68" t="str">
        <f t="shared" si="23"/>
        <v>P</v>
      </c>
      <c r="AX59" s="69" t="str">
        <f t="shared" si="24"/>
        <v>P</v>
      </c>
      <c r="AY59" s="69" t="str">
        <f t="shared" ca="1" si="25"/>
        <v>P</v>
      </c>
      <c r="AZ59" s="70" t="str">
        <f t="shared" ca="1" si="26"/>
        <v>P</v>
      </c>
      <c r="BA59" s="71">
        <f t="shared" ca="1" si="27"/>
        <v>60</v>
      </c>
      <c r="BC59" s="87">
        <f t="shared" ca="1" si="28"/>
        <v>0</v>
      </c>
      <c r="BD59" s="88">
        <v>51</v>
      </c>
      <c r="BE59" s="31">
        <f t="shared" ca="1" si="29"/>
        <v>60.058999999999997</v>
      </c>
      <c r="BF59" s="32">
        <f t="shared" ca="1" si="30"/>
        <v>39</v>
      </c>
      <c r="BG59" s="31" t="str">
        <f t="shared" si="31"/>
        <v>Wyoming Seminary</v>
      </c>
      <c r="BH59" s="33">
        <f t="shared" ca="1" si="32"/>
        <v>60</v>
      </c>
      <c r="BI59" s="31" t="str">
        <f t="shared" ca="1" si="33"/>
        <v>P</v>
      </c>
      <c r="BJ59" s="97" t="str">
        <f t="shared" ca="1" si="34"/>
        <v/>
      </c>
      <c r="BK59" s="98" t="str">
        <f t="shared" ca="1" si="35"/>
        <v/>
      </c>
    </row>
    <row r="60" spans="2:63" x14ac:dyDescent="0.25">
      <c r="B60" s="51">
        <v>52</v>
      </c>
      <c r="C60" s="247" t="s">
        <v>115</v>
      </c>
      <c r="D60" s="53"/>
      <c r="E60" s="37"/>
      <c r="F60" s="191" t="s">
        <v>125</v>
      </c>
      <c r="G60" s="132">
        <v>0</v>
      </c>
      <c r="H60" s="56">
        <v>0</v>
      </c>
      <c r="I60" s="54">
        <v>0</v>
      </c>
      <c r="J60" s="123">
        <v>34.9</v>
      </c>
      <c r="K60" s="55">
        <v>4.0389999999999997</v>
      </c>
      <c r="L60" s="112"/>
      <c r="M60" s="127"/>
      <c r="N60" s="196" t="s">
        <v>125</v>
      </c>
      <c r="O60" s="132" t="s">
        <v>126</v>
      </c>
      <c r="P60" s="108">
        <v>0</v>
      </c>
      <c r="Q60" s="54">
        <v>0</v>
      </c>
      <c r="R60" s="123">
        <v>9.1999999999999993</v>
      </c>
      <c r="S60" s="112">
        <v>4.0190000000000001</v>
      </c>
      <c r="T60" s="115"/>
      <c r="U60" s="115"/>
      <c r="V60" s="196" t="s">
        <v>124</v>
      </c>
      <c r="W60" s="139" t="s">
        <v>126</v>
      </c>
      <c r="X60" s="145" t="s">
        <v>54</v>
      </c>
      <c r="Y60" s="148" t="s">
        <v>126</v>
      </c>
      <c r="Z60" s="166">
        <f t="shared" si="0"/>
        <v>52</v>
      </c>
      <c r="AA60" s="167">
        <f t="shared" si="1"/>
        <v>1</v>
      </c>
      <c r="AB60" s="168">
        <f t="shared" si="2"/>
        <v>139.6</v>
      </c>
      <c r="AC60" s="169">
        <f t="shared" si="3"/>
        <v>8.08</v>
      </c>
      <c r="AD60" s="170">
        <f t="shared" si="4"/>
        <v>0</v>
      </c>
      <c r="AE60" s="169">
        <f t="shared" si="5"/>
        <v>122.68</v>
      </c>
      <c r="AF60" s="169" t="str">
        <f t="shared" si="6"/>
        <v>-&gt;</v>
      </c>
      <c r="AG60" s="171">
        <f t="shared" si="7"/>
        <v>1</v>
      </c>
      <c r="AH60" s="168">
        <f t="shared" si="8"/>
        <v>36.799999999999997</v>
      </c>
      <c r="AI60" s="169">
        <f t="shared" si="9"/>
        <v>8.0399999999999991</v>
      </c>
      <c r="AJ60" s="170">
        <f t="shared" si="10"/>
        <v>0</v>
      </c>
      <c r="AK60" s="169">
        <f t="shared" si="11"/>
        <v>19.839999999999996</v>
      </c>
      <c r="AL60" s="169">
        <f t="shared" si="12"/>
        <v>1</v>
      </c>
      <c r="AM60" s="169">
        <f t="shared" si="13"/>
        <v>19.839999999999996</v>
      </c>
      <c r="AN60" s="170">
        <f t="shared" ca="1" si="14"/>
        <v>5</v>
      </c>
      <c r="AO60" s="169">
        <f t="shared" ca="1" si="15"/>
        <v>36.799999999999997</v>
      </c>
      <c r="AP60" s="170">
        <f t="shared" ca="1" si="16"/>
        <v>5.0113776898342817</v>
      </c>
      <c r="AQ60" s="169">
        <f t="shared" ca="1" si="17"/>
        <v>5</v>
      </c>
      <c r="AR60" s="172">
        <f t="shared" ca="1" si="18"/>
        <v>8.0399999999999991</v>
      </c>
      <c r="AS60" s="238">
        <f t="shared" ca="1" si="19"/>
        <v>5.0528947368421049</v>
      </c>
      <c r="AT60" s="239">
        <f t="shared" ca="1" si="20"/>
        <v>5</v>
      </c>
      <c r="AU60" s="172">
        <f t="shared" ca="1" si="21"/>
        <v>5</v>
      </c>
      <c r="AV60" s="232">
        <f t="shared" ca="1" si="22"/>
        <v>5.0012677484787016</v>
      </c>
      <c r="AW60" s="72">
        <f t="shared" si="23"/>
        <v>19.839999999999996</v>
      </c>
      <c r="AX60" s="73">
        <f t="shared" si="24"/>
        <v>1</v>
      </c>
      <c r="AY60" s="73">
        <f t="shared" ca="1" si="25"/>
        <v>0</v>
      </c>
      <c r="AZ60" s="74">
        <f t="shared" ca="1" si="26"/>
        <v>5</v>
      </c>
      <c r="BA60" s="75">
        <f t="shared" ca="1" si="27"/>
        <v>5</v>
      </c>
      <c r="BC60" s="89">
        <f t="shared" ca="1" si="28"/>
        <v>1</v>
      </c>
      <c r="BD60" s="90">
        <v>52</v>
      </c>
      <c r="BE60" s="27">
        <f t="shared" ca="1" si="29"/>
        <v>5.0599999999999996</v>
      </c>
      <c r="BF60" s="28">
        <f t="shared" ca="1" si="30"/>
        <v>5</v>
      </c>
      <c r="BG60" s="27" t="str">
        <f t="shared" si="31"/>
        <v>Stetson X</v>
      </c>
      <c r="BH60" s="29">
        <f t="shared" ca="1" si="32"/>
        <v>5</v>
      </c>
      <c r="BI60" s="27">
        <f t="shared" ca="1" si="33"/>
        <v>5</v>
      </c>
      <c r="BJ60" s="99" t="str">
        <f t="shared" ca="1" si="34"/>
        <v/>
      </c>
      <c r="BK60" s="100" t="str">
        <f t="shared" ca="1" si="35"/>
        <v/>
      </c>
    </row>
    <row r="61" spans="2:63" x14ac:dyDescent="0.25">
      <c r="B61" s="51">
        <v>53</v>
      </c>
      <c r="C61" s="247" t="s">
        <v>116</v>
      </c>
      <c r="D61" s="53"/>
      <c r="E61" s="37"/>
      <c r="F61" s="191"/>
      <c r="G61" s="132"/>
      <c r="H61" s="56"/>
      <c r="I61" s="54"/>
      <c r="J61" s="123"/>
      <c r="K61" s="55"/>
      <c r="L61" s="112"/>
      <c r="M61" s="127"/>
      <c r="N61" s="196"/>
      <c r="O61" s="132"/>
      <c r="P61" s="108"/>
      <c r="Q61" s="54"/>
      <c r="R61" s="123"/>
      <c r="S61" s="112"/>
      <c r="T61" s="115"/>
      <c r="U61" s="115"/>
      <c r="V61" s="196"/>
      <c r="W61" s="139"/>
      <c r="X61" s="145"/>
      <c r="Y61" s="148"/>
      <c r="Z61" s="166">
        <f t="shared" si="0"/>
        <v>53</v>
      </c>
      <c r="AA61" s="167" t="str">
        <f t="shared" si="1"/>
        <v>NS</v>
      </c>
      <c r="AB61" s="168" t="str">
        <f t="shared" si="2"/>
        <v>NS</v>
      </c>
      <c r="AC61" s="169" t="str">
        <f t="shared" si="3"/>
        <v>NS</v>
      </c>
      <c r="AD61" s="170" t="str">
        <f t="shared" si="4"/>
        <v>NS</v>
      </c>
      <c r="AE61" s="169" t="str">
        <f t="shared" si="5"/>
        <v>NS</v>
      </c>
      <c r="AF61" s="169" t="str">
        <f t="shared" si="6"/>
        <v>NS</v>
      </c>
      <c r="AG61" s="171" t="str">
        <f t="shared" si="7"/>
        <v>NS</v>
      </c>
      <c r="AH61" s="168" t="str">
        <f t="shared" si="8"/>
        <v>NS</v>
      </c>
      <c r="AI61" s="169" t="str">
        <f t="shared" si="9"/>
        <v>NS</v>
      </c>
      <c r="AJ61" s="170" t="str">
        <f t="shared" si="10"/>
        <v>NS</v>
      </c>
      <c r="AK61" s="169" t="str">
        <f t="shared" si="11"/>
        <v>NS</v>
      </c>
      <c r="AL61" s="169" t="str">
        <f t="shared" si="12"/>
        <v>NS</v>
      </c>
      <c r="AM61" s="169" t="str">
        <f t="shared" si="13"/>
        <v>NS</v>
      </c>
      <c r="AN61" s="170" t="str">
        <f t="shared" ca="1" si="14"/>
        <v>NS</v>
      </c>
      <c r="AO61" s="169" t="str">
        <f t="shared" ca="1" si="15"/>
        <v>NS</v>
      </c>
      <c r="AP61" s="170" t="str">
        <f t="shared" ca="1" si="16"/>
        <v>NS</v>
      </c>
      <c r="AQ61" s="169" t="str">
        <f t="shared" ca="1" si="17"/>
        <v>NS</v>
      </c>
      <c r="AR61" s="172" t="str">
        <f t="shared" ca="1" si="18"/>
        <v>NS</v>
      </c>
      <c r="AS61" s="238" t="str">
        <f t="shared" ca="1" si="19"/>
        <v>NS</v>
      </c>
      <c r="AT61" s="239" t="str">
        <f t="shared" ca="1" si="20"/>
        <v>NS</v>
      </c>
      <c r="AU61" s="172" t="str">
        <f t="shared" ca="1" si="21"/>
        <v>NS</v>
      </c>
      <c r="AV61" s="232" t="str">
        <f t="shared" ca="1" si="22"/>
        <v>NS</v>
      </c>
      <c r="AW61" s="72" t="str">
        <f t="shared" si="23"/>
        <v>NS</v>
      </c>
      <c r="AX61" s="73" t="str">
        <f t="shared" si="24"/>
        <v>NS</v>
      </c>
      <c r="AY61" s="73" t="str">
        <f t="shared" ca="1" si="25"/>
        <v>NS</v>
      </c>
      <c r="AZ61" s="74" t="str">
        <f t="shared" ca="1" si="26"/>
        <v>NS</v>
      </c>
      <c r="BA61" s="75">
        <f t="shared" ca="1" si="27"/>
        <v>61</v>
      </c>
      <c r="BC61" s="89">
        <f t="shared" ca="1" si="28"/>
        <v>0</v>
      </c>
      <c r="BD61" s="90">
        <v>53</v>
      </c>
      <c r="BE61" s="27">
        <f t="shared" ca="1" si="29"/>
        <v>61.061</v>
      </c>
      <c r="BF61" s="28">
        <f t="shared" ca="1" si="30"/>
        <v>56</v>
      </c>
      <c r="BG61" s="27" t="str">
        <f t="shared" si="31"/>
        <v>Stetson Y</v>
      </c>
      <c r="BH61" s="29">
        <f t="shared" ca="1" si="32"/>
        <v>61</v>
      </c>
      <c r="BI61" s="27" t="str">
        <f t="shared" ca="1" si="33"/>
        <v>NS</v>
      </c>
      <c r="BJ61" s="99" t="str">
        <f t="shared" ca="1" si="34"/>
        <v/>
      </c>
      <c r="BK61" s="100" t="str">
        <f t="shared" ca="1" si="35"/>
        <v/>
      </c>
    </row>
    <row r="62" spans="2:63" x14ac:dyDescent="0.25">
      <c r="B62" s="51">
        <v>54</v>
      </c>
      <c r="C62" s="247" t="s">
        <v>117</v>
      </c>
      <c r="D62" s="53"/>
      <c r="E62" s="37"/>
      <c r="F62" s="191"/>
      <c r="G62" s="132"/>
      <c r="H62" s="56"/>
      <c r="I62" s="54"/>
      <c r="J62" s="123"/>
      <c r="K62" s="55"/>
      <c r="L62" s="112"/>
      <c r="M62" s="127"/>
      <c r="N62" s="196"/>
      <c r="O62" s="132" t="s">
        <v>126</v>
      </c>
      <c r="P62" s="108"/>
      <c r="Q62" s="54"/>
      <c r="R62" s="123"/>
      <c r="S62" s="112"/>
      <c r="T62" s="115"/>
      <c r="U62" s="115"/>
      <c r="V62" s="196"/>
      <c r="W62" s="139" t="s">
        <v>126</v>
      </c>
      <c r="X62" s="145"/>
      <c r="Y62" s="148"/>
      <c r="Z62" s="166">
        <f t="shared" si="0"/>
        <v>54</v>
      </c>
      <c r="AA62" s="167" t="str">
        <f t="shared" si="1"/>
        <v>NS</v>
      </c>
      <c r="AB62" s="168" t="str">
        <f t="shared" si="2"/>
        <v>NS</v>
      </c>
      <c r="AC62" s="169" t="str">
        <f t="shared" si="3"/>
        <v>NS</v>
      </c>
      <c r="AD62" s="170" t="str">
        <f t="shared" si="4"/>
        <v>NS</v>
      </c>
      <c r="AE62" s="169" t="str">
        <f t="shared" si="5"/>
        <v>NS</v>
      </c>
      <c r="AF62" s="169" t="str">
        <f t="shared" si="6"/>
        <v>NS</v>
      </c>
      <c r="AG62" s="171" t="str">
        <f t="shared" si="7"/>
        <v>NS</v>
      </c>
      <c r="AH62" s="168" t="str">
        <f t="shared" si="8"/>
        <v>NS</v>
      </c>
      <c r="AI62" s="169" t="str">
        <f t="shared" si="9"/>
        <v>NS</v>
      </c>
      <c r="AJ62" s="170" t="str">
        <f t="shared" si="10"/>
        <v>NS</v>
      </c>
      <c r="AK62" s="169" t="str">
        <f t="shared" si="11"/>
        <v>NS</v>
      </c>
      <c r="AL62" s="169" t="str">
        <f t="shared" si="12"/>
        <v>NS</v>
      </c>
      <c r="AM62" s="169" t="str">
        <f t="shared" si="13"/>
        <v>NS</v>
      </c>
      <c r="AN62" s="170" t="str">
        <f t="shared" ca="1" si="14"/>
        <v>NS</v>
      </c>
      <c r="AO62" s="169" t="str">
        <f t="shared" ca="1" si="15"/>
        <v>NS</v>
      </c>
      <c r="AP62" s="170" t="str">
        <f t="shared" ca="1" si="16"/>
        <v>NS</v>
      </c>
      <c r="AQ62" s="169" t="str">
        <f t="shared" ca="1" si="17"/>
        <v>NS</v>
      </c>
      <c r="AR62" s="172" t="str">
        <f t="shared" ca="1" si="18"/>
        <v>NS</v>
      </c>
      <c r="AS62" s="238" t="str">
        <f t="shared" ca="1" si="19"/>
        <v>NS</v>
      </c>
      <c r="AT62" s="239" t="str">
        <f t="shared" ca="1" si="20"/>
        <v>NS</v>
      </c>
      <c r="AU62" s="172" t="str">
        <f t="shared" ca="1" si="21"/>
        <v>NS</v>
      </c>
      <c r="AV62" s="232" t="str">
        <f t="shared" ca="1" si="22"/>
        <v>NS</v>
      </c>
      <c r="AW62" s="72" t="str">
        <f t="shared" si="23"/>
        <v>NS</v>
      </c>
      <c r="AX62" s="73" t="str">
        <f t="shared" si="24"/>
        <v>NS</v>
      </c>
      <c r="AY62" s="73" t="str">
        <f t="shared" ca="1" si="25"/>
        <v>NS</v>
      </c>
      <c r="AZ62" s="74" t="str">
        <f t="shared" ca="1" si="26"/>
        <v>NS</v>
      </c>
      <c r="BA62" s="75">
        <f t="shared" ca="1" si="27"/>
        <v>61</v>
      </c>
      <c r="BC62" s="89">
        <f t="shared" ca="1" si="28"/>
        <v>0</v>
      </c>
      <c r="BD62" s="90">
        <v>54</v>
      </c>
      <c r="BE62" s="27">
        <f t="shared" ca="1" si="29"/>
        <v>61.061999999999998</v>
      </c>
      <c r="BF62" s="28">
        <f t="shared" ca="1" si="30"/>
        <v>57</v>
      </c>
      <c r="BG62" s="27" t="str">
        <f t="shared" si="31"/>
        <v>Good Hope Y</v>
      </c>
      <c r="BH62" s="29">
        <f t="shared" ca="1" si="32"/>
        <v>61</v>
      </c>
      <c r="BI62" s="27" t="str">
        <f t="shared" ca="1" si="33"/>
        <v>NS</v>
      </c>
      <c r="BJ62" s="99" t="str">
        <f t="shared" ca="1" si="34"/>
        <v/>
      </c>
      <c r="BK62" s="100" t="str">
        <f t="shared" ca="1" si="35"/>
        <v/>
      </c>
    </row>
    <row r="63" spans="2:63" x14ac:dyDescent="0.25">
      <c r="B63" s="46">
        <v>55</v>
      </c>
      <c r="C63" s="246" t="s">
        <v>118</v>
      </c>
      <c r="D63" s="47"/>
      <c r="E63" s="38"/>
      <c r="F63" s="190"/>
      <c r="G63" s="131"/>
      <c r="H63" s="49"/>
      <c r="I63" s="45"/>
      <c r="J63" s="122"/>
      <c r="K63" s="48"/>
      <c r="L63" s="111"/>
      <c r="M63" s="126"/>
      <c r="N63" s="195"/>
      <c r="O63" s="131" t="s">
        <v>125</v>
      </c>
      <c r="P63" s="107"/>
      <c r="Q63" s="45"/>
      <c r="R63" s="122"/>
      <c r="S63" s="111"/>
      <c r="T63" s="114"/>
      <c r="U63" s="114"/>
      <c r="V63" s="195"/>
      <c r="W63" s="138" t="s">
        <v>125</v>
      </c>
      <c r="X63" s="144"/>
      <c r="Y63" s="147"/>
      <c r="Z63" s="161">
        <f t="shared" si="0"/>
        <v>55</v>
      </c>
      <c r="AA63" s="162" t="str">
        <f t="shared" si="1"/>
        <v>P</v>
      </c>
      <c r="AB63" s="163" t="str">
        <f t="shared" si="2"/>
        <v>P</v>
      </c>
      <c r="AC63" s="158" t="str">
        <f t="shared" si="3"/>
        <v>P</v>
      </c>
      <c r="AD63" s="159" t="str">
        <f t="shared" si="4"/>
        <v>P</v>
      </c>
      <c r="AE63" s="158" t="str">
        <f t="shared" si="5"/>
        <v>P</v>
      </c>
      <c r="AF63" s="158" t="str">
        <f t="shared" si="6"/>
        <v>P</v>
      </c>
      <c r="AG63" s="164" t="str">
        <f t="shared" si="7"/>
        <v>P</v>
      </c>
      <c r="AH63" s="163" t="str">
        <f t="shared" si="8"/>
        <v>P</v>
      </c>
      <c r="AI63" s="158" t="str">
        <f t="shared" si="9"/>
        <v>P</v>
      </c>
      <c r="AJ63" s="159" t="str">
        <f t="shared" si="10"/>
        <v>P</v>
      </c>
      <c r="AK63" s="158" t="str">
        <f t="shared" si="11"/>
        <v>P</v>
      </c>
      <c r="AL63" s="158" t="str">
        <f t="shared" si="12"/>
        <v>P</v>
      </c>
      <c r="AM63" s="158" t="str">
        <f t="shared" si="13"/>
        <v>P</v>
      </c>
      <c r="AN63" s="159" t="str">
        <f t="shared" ca="1" si="14"/>
        <v>P</v>
      </c>
      <c r="AO63" s="158" t="str">
        <f t="shared" ca="1" si="15"/>
        <v>P</v>
      </c>
      <c r="AP63" s="159" t="str">
        <f t="shared" ca="1" si="16"/>
        <v>P</v>
      </c>
      <c r="AQ63" s="158" t="str">
        <f t="shared" ca="1" si="17"/>
        <v>P</v>
      </c>
      <c r="AR63" s="165" t="str">
        <f t="shared" ca="1" si="18"/>
        <v>P</v>
      </c>
      <c r="AS63" s="236" t="str">
        <f t="shared" ca="1" si="19"/>
        <v>P</v>
      </c>
      <c r="AT63" s="237" t="str">
        <f t="shared" ca="1" si="20"/>
        <v>P</v>
      </c>
      <c r="AU63" s="165" t="str">
        <f t="shared" ca="1" si="21"/>
        <v>P</v>
      </c>
      <c r="AV63" s="231" t="str">
        <f t="shared" ca="1" si="22"/>
        <v>P</v>
      </c>
      <c r="AW63" s="68" t="str">
        <f t="shared" si="23"/>
        <v>P</v>
      </c>
      <c r="AX63" s="69" t="str">
        <f t="shared" si="24"/>
        <v>P</v>
      </c>
      <c r="AY63" s="69" t="str">
        <f t="shared" ca="1" si="25"/>
        <v>P</v>
      </c>
      <c r="AZ63" s="70" t="str">
        <f t="shared" ca="1" si="26"/>
        <v>P</v>
      </c>
      <c r="BA63" s="71">
        <f t="shared" ca="1" si="27"/>
        <v>60</v>
      </c>
      <c r="BC63" s="87">
        <f t="shared" ca="1" si="28"/>
        <v>0</v>
      </c>
      <c r="BD63" s="88">
        <v>55</v>
      </c>
      <c r="BE63" s="31">
        <f t="shared" ca="1" si="29"/>
        <v>60.063000000000002</v>
      </c>
      <c r="BF63" s="32">
        <f t="shared" ca="1" si="30"/>
        <v>40</v>
      </c>
      <c r="BG63" s="31" t="str">
        <f t="shared" si="31"/>
        <v>Good Hope X</v>
      </c>
      <c r="BH63" s="33">
        <f t="shared" ca="1" si="32"/>
        <v>60</v>
      </c>
      <c r="BI63" s="31" t="str">
        <f t="shared" ca="1" si="33"/>
        <v>P</v>
      </c>
      <c r="BJ63" s="97" t="str">
        <f t="shared" ca="1" si="34"/>
        <v/>
      </c>
      <c r="BK63" s="98" t="str">
        <f t="shared" ca="1" si="35"/>
        <v/>
      </c>
    </row>
    <row r="64" spans="2:63" x14ac:dyDescent="0.25">
      <c r="B64" s="46">
        <v>56</v>
      </c>
      <c r="C64" s="246" t="s">
        <v>119</v>
      </c>
      <c r="D64" s="47"/>
      <c r="E64" s="38"/>
      <c r="F64" s="190" t="s">
        <v>125</v>
      </c>
      <c r="G64" s="131">
        <v>0</v>
      </c>
      <c r="H64" s="49">
        <v>0</v>
      </c>
      <c r="I64" s="45">
        <v>0</v>
      </c>
      <c r="J64" s="122">
        <v>181.8</v>
      </c>
      <c r="K64" s="48">
        <v>5.62</v>
      </c>
      <c r="L64" s="111"/>
      <c r="M64" s="126"/>
      <c r="N64" s="195" t="s">
        <v>126</v>
      </c>
      <c r="O64" s="131" t="s">
        <v>126</v>
      </c>
      <c r="P64" s="107">
        <v>0</v>
      </c>
      <c r="Q64" s="45">
        <v>0</v>
      </c>
      <c r="R64" s="122">
        <v>89.5</v>
      </c>
      <c r="S64" s="111">
        <v>5.49</v>
      </c>
      <c r="T64" s="114"/>
      <c r="U64" s="114"/>
      <c r="V64" s="195" t="s">
        <v>126</v>
      </c>
      <c r="W64" s="138" t="s">
        <v>126</v>
      </c>
      <c r="X64" s="144" t="s">
        <v>54</v>
      </c>
      <c r="Y64" s="147" t="s">
        <v>126</v>
      </c>
      <c r="Z64" s="161">
        <f t="shared" si="0"/>
        <v>56</v>
      </c>
      <c r="AA64" s="162">
        <f t="shared" si="1"/>
        <v>1</v>
      </c>
      <c r="AB64" s="163">
        <f t="shared" si="2"/>
        <v>727.2</v>
      </c>
      <c r="AC64" s="158">
        <f t="shared" si="3"/>
        <v>11.24</v>
      </c>
      <c r="AD64" s="159">
        <f t="shared" si="4"/>
        <v>0</v>
      </c>
      <c r="AE64" s="158">
        <f t="shared" si="5"/>
        <v>738.44</v>
      </c>
      <c r="AF64" s="158" t="str">
        <f t="shared" si="6"/>
        <v>-&gt;</v>
      </c>
      <c r="AG64" s="164">
        <f t="shared" si="7"/>
        <v>1</v>
      </c>
      <c r="AH64" s="163">
        <f t="shared" si="8"/>
        <v>358</v>
      </c>
      <c r="AI64" s="158">
        <f t="shared" si="9"/>
        <v>10.98</v>
      </c>
      <c r="AJ64" s="159">
        <f t="shared" si="10"/>
        <v>0</v>
      </c>
      <c r="AK64" s="158">
        <f t="shared" si="11"/>
        <v>368.98</v>
      </c>
      <c r="AL64" s="158">
        <f t="shared" si="12"/>
        <v>1</v>
      </c>
      <c r="AM64" s="158">
        <f t="shared" si="13"/>
        <v>368.98</v>
      </c>
      <c r="AN64" s="159">
        <f t="shared" ca="1" si="14"/>
        <v>22</v>
      </c>
      <c r="AO64" s="158">
        <f t="shared" ca="1" si="15"/>
        <v>358</v>
      </c>
      <c r="AP64" s="159">
        <f t="shared" ca="1" si="16"/>
        <v>22.110685134800889</v>
      </c>
      <c r="AQ64" s="158">
        <f t="shared" ca="1" si="17"/>
        <v>22</v>
      </c>
      <c r="AR64" s="165">
        <f t="shared" ca="1" si="18"/>
        <v>10.98</v>
      </c>
      <c r="AS64" s="236">
        <f t="shared" ca="1" si="19"/>
        <v>22.072236842105262</v>
      </c>
      <c r="AT64" s="237">
        <f t="shared" ca="1" si="20"/>
        <v>22</v>
      </c>
      <c r="AU64" s="165">
        <f t="shared" ca="1" si="21"/>
        <v>22</v>
      </c>
      <c r="AV64" s="231">
        <f t="shared" ca="1" si="22"/>
        <v>22.005578093306287</v>
      </c>
      <c r="AW64" s="68">
        <f t="shared" si="23"/>
        <v>368.98</v>
      </c>
      <c r="AX64" s="69">
        <f t="shared" si="24"/>
        <v>1</v>
      </c>
      <c r="AY64" s="69">
        <f t="shared" ca="1" si="25"/>
        <v>0</v>
      </c>
      <c r="AZ64" s="70">
        <f t="shared" ca="1" si="26"/>
        <v>22</v>
      </c>
      <c r="BA64" s="71">
        <f t="shared" ca="1" si="27"/>
        <v>22</v>
      </c>
      <c r="BC64" s="87">
        <f t="shared" ca="1" si="28"/>
        <v>1</v>
      </c>
      <c r="BD64" s="88">
        <v>56</v>
      </c>
      <c r="BE64" s="31">
        <f t="shared" ca="1" si="29"/>
        <v>22.064</v>
      </c>
      <c r="BF64" s="32">
        <f t="shared" ca="1" si="30"/>
        <v>22</v>
      </c>
      <c r="BG64" s="31" t="str">
        <f t="shared" si="31"/>
        <v>Welsh Valley X</v>
      </c>
      <c r="BH64" s="33">
        <f t="shared" ca="1" si="32"/>
        <v>22</v>
      </c>
      <c r="BI64" s="31">
        <f t="shared" ca="1" si="33"/>
        <v>22</v>
      </c>
      <c r="BJ64" s="97" t="str">
        <f t="shared" ca="1" si="34"/>
        <v/>
      </c>
      <c r="BK64" s="98" t="str">
        <f t="shared" ca="1" si="35"/>
        <v/>
      </c>
    </row>
    <row r="65" spans="2:63" x14ac:dyDescent="0.25">
      <c r="B65" s="46">
        <v>57</v>
      </c>
      <c r="C65" s="246" t="s">
        <v>120</v>
      </c>
      <c r="D65" s="47"/>
      <c r="E65" s="38"/>
      <c r="F65" s="190"/>
      <c r="G65" s="131"/>
      <c r="H65" s="49"/>
      <c r="I65" s="45"/>
      <c r="J65" s="122"/>
      <c r="K65" s="48"/>
      <c r="L65" s="111"/>
      <c r="M65" s="126"/>
      <c r="N65" s="195"/>
      <c r="O65" s="131"/>
      <c r="P65" s="107"/>
      <c r="Q65" s="45"/>
      <c r="R65" s="122"/>
      <c r="S65" s="111"/>
      <c r="T65" s="114"/>
      <c r="U65" s="114"/>
      <c r="V65" s="195"/>
      <c r="W65" s="138"/>
      <c r="X65" s="144"/>
      <c r="Y65" s="147"/>
      <c r="Z65" s="161">
        <f t="shared" si="0"/>
        <v>57</v>
      </c>
      <c r="AA65" s="162" t="str">
        <f t="shared" si="1"/>
        <v>NS</v>
      </c>
      <c r="AB65" s="163" t="str">
        <f t="shared" si="2"/>
        <v>NS</v>
      </c>
      <c r="AC65" s="158" t="str">
        <f t="shared" si="3"/>
        <v>NS</v>
      </c>
      <c r="AD65" s="159" t="str">
        <f t="shared" si="4"/>
        <v>NS</v>
      </c>
      <c r="AE65" s="158" t="str">
        <f t="shared" si="5"/>
        <v>NS</v>
      </c>
      <c r="AF65" s="158" t="str">
        <f t="shared" si="6"/>
        <v>NS</v>
      </c>
      <c r="AG65" s="164" t="str">
        <f t="shared" si="7"/>
        <v>NS</v>
      </c>
      <c r="AH65" s="163" t="str">
        <f t="shared" si="8"/>
        <v>NS</v>
      </c>
      <c r="AI65" s="158" t="str">
        <f t="shared" si="9"/>
        <v>NS</v>
      </c>
      <c r="AJ65" s="159" t="str">
        <f t="shared" si="10"/>
        <v>NS</v>
      </c>
      <c r="AK65" s="158" t="str">
        <f t="shared" si="11"/>
        <v>NS</v>
      </c>
      <c r="AL65" s="158" t="str">
        <f t="shared" si="12"/>
        <v>NS</v>
      </c>
      <c r="AM65" s="158" t="str">
        <f t="shared" si="13"/>
        <v>NS</v>
      </c>
      <c r="AN65" s="159" t="str">
        <f t="shared" ca="1" si="14"/>
        <v>NS</v>
      </c>
      <c r="AO65" s="158" t="str">
        <f t="shared" ca="1" si="15"/>
        <v>NS</v>
      </c>
      <c r="AP65" s="159" t="str">
        <f t="shared" ca="1" si="16"/>
        <v>NS</v>
      </c>
      <c r="AQ65" s="158" t="str">
        <f t="shared" ca="1" si="17"/>
        <v>NS</v>
      </c>
      <c r="AR65" s="165" t="str">
        <f t="shared" ca="1" si="18"/>
        <v>NS</v>
      </c>
      <c r="AS65" s="236" t="str">
        <f t="shared" ca="1" si="19"/>
        <v>NS</v>
      </c>
      <c r="AT65" s="237" t="str">
        <f t="shared" ca="1" si="20"/>
        <v>NS</v>
      </c>
      <c r="AU65" s="165" t="str">
        <f t="shared" ca="1" si="21"/>
        <v>NS</v>
      </c>
      <c r="AV65" s="231" t="str">
        <f t="shared" ca="1" si="22"/>
        <v>NS</v>
      </c>
      <c r="AW65" s="68" t="str">
        <f t="shared" si="23"/>
        <v>NS</v>
      </c>
      <c r="AX65" s="69" t="str">
        <f t="shared" si="24"/>
        <v>NS</v>
      </c>
      <c r="AY65" s="69" t="str">
        <f t="shared" ca="1" si="25"/>
        <v>NS</v>
      </c>
      <c r="AZ65" s="70" t="str">
        <f t="shared" ca="1" si="26"/>
        <v>NS</v>
      </c>
      <c r="BA65" s="71">
        <f t="shared" ca="1" si="27"/>
        <v>61</v>
      </c>
      <c r="BC65" s="87">
        <f t="shared" ca="1" si="28"/>
        <v>0</v>
      </c>
      <c r="BD65" s="88">
        <v>57</v>
      </c>
      <c r="BE65" s="31">
        <f t="shared" ca="1" si="29"/>
        <v>61.064999999999998</v>
      </c>
      <c r="BF65" s="32">
        <f t="shared" ca="1" si="30"/>
        <v>58</v>
      </c>
      <c r="BG65" s="31" t="str">
        <f t="shared" si="31"/>
        <v>Welsh Valley Y</v>
      </c>
      <c r="BH65" s="33">
        <f t="shared" ca="1" si="32"/>
        <v>61</v>
      </c>
      <c r="BI65" s="31" t="str">
        <f t="shared" ca="1" si="33"/>
        <v>NS</v>
      </c>
      <c r="BJ65" s="97" t="str">
        <f t="shared" ca="1" si="34"/>
        <v/>
      </c>
      <c r="BK65" s="98" t="str">
        <f t="shared" ca="1" si="35"/>
        <v/>
      </c>
    </row>
    <row r="66" spans="2:63" x14ac:dyDescent="0.25">
      <c r="B66" s="51">
        <v>58</v>
      </c>
      <c r="C66" s="247" t="s">
        <v>121</v>
      </c>
      <c r="D66" s="53"/>
      <c r="E66" s="37"/>
      <c r="F66" s="191" t="s">
        <v>125</v>
      </c>
      <c r="G66" s="132">
        <v>0</v>
      </c>
      <c r="H66" s="56">
        <v>0</v>
      </c>
      <c r="I66" s="54">
        <v>0</v>
      </c>
      <c r="J66" s="123">
        <v>75.599999999999994</v>
      </c>
      <c r="K66" s="55">
        <v>4.4870000000000001</v>
      </c>
      <c r="L66" s="112"/>
      <c r="M66" s="127"/>
      <c r="N66" s="196" t="s">
        <v>126</v>
      </c>
      <c r="O66" s="132" t="s">
        <v>126</v>
      </c>
      <c r="P66" s="108">
        <v>0</v>
      </c>
      <c r="Q66" s="54">
        <v>0</v>
      </c>
      <c r="R66" s="123">
        <v>41</v>
      </c>
      <c r="S66" s="112">
        <v>4.7610000000000001</v>
      </c>
      <c r="T66" s="115"/>
      <c r="U66" s="115"/>
      <c r="V66" s="196" t="s">
        <v>126</v>
      </c>
      <c r="W66" s="139" t="s">
        <v>126</v>
      </c>
      <c r="X66" s="145" t="s">
        <v>54</v>
      </c>
      <c r="Y66" s="148"/>
      <c r="Z66" s="166">
        <f t="shared" si="0"/>
        <v>58</v>
      </c>
      <c r="AA66" s="167">
        <f t="shared" si="1"/>
        <v>1</v>
      </c>
      <c r="AB66" s="168">
        <f t="shared" si="2"/>
        <v>302.39999999999998</v>
      </c>
      <c r="AC66" s="169">
        <f t="shared" si="3"/>
        <v>8.98</v>
      </c>
      <c r="AD66" s="170">
        <f t="shared" si="4"/>
        <v>0</v>
      </c>
      <c r="AE66" s="169">
        <f t="shared" si="5"/>
        <v>311.38</v>
      </c>
      <c r="AF66" s="169" t="str">
        <f t="shared" si="6"/>
        <v>-&gt;</v>
      </c>
      <c r="AG66" s="171">
        <f t="shared" si="7"/>
        <v>1</v>
      </c>
      <c r="AH66" s="168">
        <f t="shared" si="8"/>
        <v>164</v>
      </c>
      <c r="AI66" s="169">
        <f t="shared" si="9"/>
        <v>9.52</v>
      </c>
      <c r="AJ66" s="170">
        <f t="shared" si="10"/>
        <v>0</v>
      </c>
      <c r="AK66" s="169">
        <f t="shared" si="11"/>
        <v>173.52</v>
      </c>
      <c r="AL66" s="169">
        <f t="shared" si="12"/>
        <v>1</v>
      </c>
      <c r="AM66" s="169">
        <f t="shared" si="13"/>
        <v>173.52</v>
      </c>
      <c r="AN66" s="170">
        <f t="shared" ca="1" si="14"/>
        <v>16</v>
      </c>
      <c r="AO66" s="169">
        <f t="shared" ca="1" si="15"/>
        <v>164</v>
      </c>
      <c r="AP66" s="170">
        <f t="shared" ca="1" si="16"/>
        <v>16.050704922087558</v>
      </c>
      <c r="AQ66" s="169">
        <f t="shared" ca="1" si="17"/>
        <v>16</v>
      </c>
      <c r="AR66" s="172">
        <f t="shared" ca="1" si="18"/>
        <v>9.52</v>
      </c>
      <c r="AS66" s="238">
        <f t="shared" ca="1" si="19"/>
        <v>16.062631578947368</v>
      </c>
      <c r="AT66" s="239">
        <f t="shared" ca="1" si="20"/>
        <v>16</v>
      </c>
      <c r="AU66" s="172">
        <f t="shared" ca="1" si="21"/>
        <v>16</v>
      </c>
      <c r="AV66" s="232">
        <f t="shared" ca="1" si="22"/>
        <v>16.004056795131845</v>
      </c>
      <c r="AW66" s="72">
        <f t="shared" si="23"/>
        <v>173.52</v>
      </c>
      <c r="AX66" s="73">
        <f t="shared" si="24"/>
        <v>1</v>
      </c>
      <c r="AY66" s="73">
        <f t="shared" ca="1" si="25"/>
        <v>0</v>
      </c>
      <c r="AZ66" s="74">
        <f t="shared" ca="1" si="26"/>
        <v>16</v>
      </c>
      <c r="BA66" s="75">
        <f t="shared" ca="1" si="27"/>
        <v>16</v>
      </c>
      <c r="BC66" s="89">
        <f t="shared" ca="1" si="28"/>
        <v>1</v>
      </c>
      <c r="BD66" s="90">
        <v>58</v>
      </c>
      <c r="BE66" s="27">
        <f t="shared" ca="1" si="29"/>
        <v>16.065999999999999</v>
      </c>
      <c r="BF66" s="28">
        <f t="shared" ca="1" si="30"/>
        <v>16</v>
      </c>
      <c r="BG66" s="27" t="str">
        <f t="shared" si="31"/>
        <v>Sunset Prep X</v>
      </c>
      <c r="BH66" s="29">
        <f t="shared" ca="1" si="32"/>
        <v>16</v>
      </c>
      <c r="BI66" s="27">
        <f t="shared" ca="1" si="33"/>
        <v>16</v>
      </c>
      <c r="BJ66" s="99" t="str">
        <f t="shared" ca="1" si="34"/>
        <v/>
      </c>
      <c r="BK66" s="100" t="str">
        <f t="shared" ca="1" si="35"/>
        <v/>
      </c>
    </row>
    <row r="67" spans="2:63" x14ac:dyDescent="0.25">
      <c r="B67" s="51">
        <v>59</v>
      </c>
      <c r="C67" s="247" t="s">
        <v>122</v>
      </c>
      <c r="D67" s="53"/>
      <c r="E67" s="37"/>
      <c r="F67" s="191"/>
      <c r="G67" s="132"/>
      <c r="H67" s="56"/>
      <c r="I67" s="54"/>
      <c r="J67" s="123"/>
      <c r="K67" s="55"/>
      <c r="L67" s="112"/>
      <c r="M67" s="127"/>
      <c r="N67" s="196"/>
      <c r="O67" s="132"/>
      <c r="P67" s="108"/>
      <c r="Q67" s="54"/>
      <c r="R67" s="123"/>
      <c r="S67" s="112"/>
      <c r="T67" s="115"/>
      <c r="U67" s="115"/>
      <c r="V67" s="196"/>
      <c r="W67" s="139"/>
      <c r="X67" s="145"/>
      <c r="Y67" s="148"/>
      <c r="Z67" s="166">
        <f t="shared" si="0"/>
        <v>59</v>
      </c>
      <c r="AA67" s="167" t="str">
        <f t="shared" si="1"/>
        <v>NS</v>
      </c>
      <c r="AB67" s="168" t="str">
        <f t="shared" si="2"/>
        <v>NS</v>
      </c>
      <c r="AC67" s="169" t="str">
        <f t="shared" si="3"/>
        <v>NS</v>
      </c>
      <c r="AD67" s="170" t="str">
        <f t="shared" si="4"/>
        <v>NS</v>
      </c>
      <c r="AE67" s="169" t="str">
        <f t="shared" si="5"/>
        <v>NS</v>
      </c>
      <c r="AF67" s="169" t="str">
        <f t="shared" si="6"/>
        <v>NS</v>
      </c>
      <c r="AG67" s="171" t="str">
        <f t="shared" si="7"/>
        <v>NS</v>
      </c>
      <c r="AH67" s="168" t="str">
        <f t="shared" si="8"/>
        <v>NS</v>
      </c>
      <c r="AI67" s="169" t="str">
        <f t="shared" si="9"/>
        <v>NS</v>
      </c>
      <c r="AJ67" s="170" t="str">
        <f t="shared" si="10"/>
        <v>NS</v>
      </c>
      <c r="AK67" s="169" t="str">
        <f t="shared" si="11"/>
        <v>NS</v>
      </c>
      <c r="AL67" s="169" t="str">
        <f t="shared" si="12"/>
        <v>NS</v>
      </c>
      <c r="AM67" s="169" t="str">
        <f t="shared" si="13"/>
        <v>NS</v>
      </c>
      <c r="AN67" s="170" t="str">
        <f t="shared" ca="1" si="14"/>
        <v>NS</v>
      </c>
      <c r="AO67" s="169" t="str">
        <f t="shared" ca="1" si="15"/>
        <v>NS</v>
      </c>
      <c r="AP67" s="170" t="str">
        <f t="shared" ca="1" si="16"/>
        <v>NS</v>
      </c>
      <c r="AQ67" s="169" t="str">
        <f t="shared" ca="1" si="17"/>
        <v>NS</v>
      </c>
      <c r="AR67" s="172" t="str">
        <f t="shared" ca="1" si="18"/>
        <v>NS</v>
      </c>
      <c r="AS67" s="238" t="str">
        <f t="shared" ca="1" si="19"/>
        <v>NS</v>
      </c>
      <c r="AT67" s="239" t="str">
        <f t="shared" ca="1" si="20"/>
        <v>NS</v>
      </c>
      <c r="AU67" s="172" t="str">
        <f t="shared" ca="1" si="21"/>
        <v>NS</v>
      </c>
      <c r="AV67" s="232" t="str">
        <f t="shared" ca="1" si="22"/>
        <v>NS</v>
      </c>
      <c r="AW67" s="72" t="str">
        <f t="shared" si="23"/>
        <v>NS</v>
      </c>
      <c r="AX67" s="73" t="str">
        <f t="shared" si="24"/>
        <v>NS</v>
      </c>
      <c r="AY67" s="73" t="str">
        <f t="shared" ca="1" si="25"/>
        <v>NS</v>
      </c>
      <c r="AZ67" s="74" t="str">
        <f t="shared" ca="1" si="26"/>
        <v>NS</v>
      </c>
      <c r="BA67" s="75">
        <f t="shared" ca="1" si="27"/>
        <v>61</v>
      </c>
      <c r="BC67" s="89">
        <f t="shared" ca="1" si="28"/>
        <v>0</v>
      </c>
      <c r="BD67" s="90">
        <v>59</v>
      </c>
      <c r="BE67" s="27">
        <f t="shared" ca="1" si="29"/>
        <v>61.067</v>
      </c>
      <c r="BF67" s="28">
        <f t="shared" ca="1" si="30"/>
        <v>59</v>
      </c>
      <c r="BG67" s="27" t="str">
        <f t="shared" si="31"/>
        <v>Sunset Prep Y</v>
      </c>
      <c r="BH67" s="29">
        <f t="shared" ca="1" si="32"/>
        <v>61</v>
      </c>
      <c r="BI67" s="27" t="str">
        <f t="shared" ca="1" si="33"/>
        <v>NS</v>
      </c>
      <c r="BJ67" s="99" t="str">
        <f t="shared" ca="1" si="34"/>
        <v/>
      </c>
      <c r="BK67" s="100" t="str">
        <f t="shared" ca="1" si="35"/>
        <v/>
      </c>
    </row>
    <row r="68" spans="2:63" x14ac:dyDescent="0.25">
      <c r="B68" s="51">
        <v>60</v>
      </c>
      <c r="C68" s="247" t="s">
        <v>123</v>
      </c>
      <c r="D68" s="53"/>
      <c r="E68" s="37"/>
      <c r="F68" s="191" t="s">
        <v>125</v>
      </c>
      <c r="G68" s="132">
        <v>0</v>
      </c>
      <c r="H68" s="56">
        <v>0</v>
      </c>
      <c r="I68" s="54">
        <v>1</v>
      </c>
      <c r="J68" s="123">
        <v>983.8</v>
      </c>
      <c r="K68" s="55">
        <v>2.5</v>
      </c>
      <c r="L68" s="112"/>
      <c r="M68" s="127"/>
      <c r="N68" s="196" t="s">
        <v>127</v>
      </c>
      <c r="O68" s="132" t="s">
        <v>127</v>
      </c>
      <c r="P68" s="108">
        <v>0</v>
      </c>
      <c r="Q68" s="54">
        <v>0</v>
      </c>
      <c r="R68" s="123">
        <v>274.3</v>
      </c>
      <c r="S68" s="112">
        <v>6.14</v>
      </c>
      <c r="T68" s="115"/>
      <c r="U68" s="115"/>
      <c r="V68" s="196" t="s">
        <v>126</v>
      </c>
      <c r="W68" s="139" t="s">
        <v>126</v>
      </c>
      <c r="X68" s="145" t="s">
        <v>54</v>
      </c>
      <c r="Y68" s="148" t="s">
        <v>126</v>
      </c>
      <c r="Z68" s="166">
        <f t="shared" si="0"/>
        <v>60</v>
      </c>
      <c r="AA68" s="167">
        <f t="shared" si="1"/>
        <v>1</v>
      </c>
      <c r="AB68" s="168">
        <f t="shared" si="2"/>
        <v>3935.2</v>
      </c>
      <c r="AC68" s="169">
        <f t="shared" si="3"/>
        <v>5</v>
      </c>
      <c r="AD68" s="170">
        <f t="shared" si="4"/>
        <v>1000</v>
      </c>
      <c r="AE68" s="169">
        <f t="shared" si="5"/>
        <v>4940.2</v>
      </c>
      <c r="AF68" s="169" t="str">
        <f t="shared" si="6"/>
        <v>-&gt;</v>
      </c>
      <c r="AG68" s="171">
        <f t="shared" si="7"/>
        <v>1</v>
      </c>
      <c r="AH68" s="168">
        <f t="shared" si="8"/>
        <v>1097.2</v>
      </c>
      <c r="AI68" s="169">
        <f t="shared" si="9"/>
        <v>12.28</v>
      </c>
      <c r="AJ68" s="170">
        <f t="shared" si="10"/>
        <v>0</v>
      </c>
      <c r="AK68" s="169">
        <f t="shared" si="11"/>
        <v>1109.48</v>
      </c>
      <c r="AL68" s="169">
        <f t="shared" si="12"/>
        <v>1</v>
      </c>
      <c r="AM68" s="169">
        <f t="shared" si="13"/>
        <v>1109.48</v>
      </c>
      <c r="AN68" s="170">
        <f t="shared" ca="1" si="14"/>
        <v>25</v>
      </c>
      <c r="AO68" s="169">
        <f t="shared" ca="1" si="15"/>
        <v>1097.2</v>
      </c>
      <c r="AP68" s="170">
        <f t="shared" ca="1" si="16"/>
        <v>25.339228295819936</v>
      </c>
      <c r="AQ68" s="169">
        <f t="shared" ca="1" si="17"/>
        <v>25</v>
      </c>
      <c r="AR68" s="172">
        <f t="shared" ca="1" si="18"/>
        <v>12.28</v>
      </c>
      <c r="AS68" s="238">
        <f t="shared" ca="1" si="19"/>
        <v>25.080789473684209</v>
      </c>
      <c r="AT68" s="239">
        <f t="shared" ca="1" si="20"/>
        <v>25</v>
      </c>
      <c r="AU68" s="172">
        <f t="shared" ca="1" si="21"/>
        <v>25</v>
      </c>
      <c r="AV68" s="232">
        <f t="shared" ca="1" si="22"/>
        <v>25.00633874239351</v>
      </c>
      <c r="AW68" s="72">
        <f t="shared" si="23"/>
        <v>1109.48</v>
      </c>
      <c r="AX68" s="73">
        <f t="shared" si="24"/>
        <v>1</v>
      </c>
      <c r="AY68" s="73">
        <f t="shared" ca="1" si="25"/>
        <v>0</v>
      </c>
      <c r="AZ68" s="74">
        <f t="shared" ca="1" si="26"/>
        <v>25</v>
      </c>
      <c r="BA68" s="75">
        <f t="shared" ca="1" si="27"/>
        <v>25</v>
      </c>
      <c r="BC68" s="89">
        <f t="shared" ca="1" si="28"/>
        <v>1</v>
      </c>
      <c r="BD68" s="90">
        <v>60</v>
      </c>
      <c r="BE68" s="27">
        <f t="shared" ca="1" si="29"/>
        <v>25.068000000000001</v>
      </c>
      <c r="BF68" s="28">
        <f t="shared" ca="1" si="30"/>
        <v>25</v>
      </c>
      <c r="BG68" s="27" t="str">
        <f t="shared" si="31"/>
        <v>Pond Road</v>
      </c>
      <c r="BH68" s="29">
        <f t="shared" ca="1" si="32"/>
        <v>25</v>
      </c>
      <c r="BI68" s="27">
        <f t="shared" ca="1" si="33"/>
        <v>25</v>
      </c>
      <c r="BJ68" s="99" t="str">
        <f t="shared" ca="1" si="34"/>
        <v/>
      </c>
      <c r="BK68" s="100" t="str">
        <f t="shared" ca="1" si="35"/>
        <v/>
      </c>
    </row>
    <row r="69" spans="2:63" x14ac:dyDescent="0.25">
      <c r="B69" s="46">
        <v>61</v>
      </c>
      <c r="C69" s="50"/>
      <c r="D69" s="47"/>
      <c r="E69" s="38"/>
      <c r="F69" s="190"/>
      <c r="G69" s="131"/>
      <c r="H69" s="49"/>
      <c r="I69" s="45"/>
      <c r="J69" s="122"/>
      <c r="K69" s="48"/>
      <c r="L69" s="111"/>
      <c r="M69" s="126"/>
      <c r="N69" s="195"/>
      <c r="O69" s="131"/>
      <c r="P69" s="107"/>
      <c r="Q69" s="45"/>
      <c r="R69" s="122"/>
      <c r="S69" s="111"/>
      <c r="T69" s="114"/>
      <c r="U69" s="114"/>
      <c r="V69" s="195"/>
      <c r="W69" s="138"/>
      <c r="X69" s="144"/>
      <c r="Y69" s="147"/>
      <c r="Z69" s="161" t="str">
        <f t="shared" si="0"/>
        <v/>
      </c>
      <c r="AA69" s="162" t="str">
        <f t="shared" si="1"/>
        <v/>
      </c>
      <c r="AB69" s="163" t="str">
        <f t="shared" si="2"/>
        <v/>
      </c>
      <c r="AC69" s="158" t="str">
        <f t="shared" si="3"/>
        <v/>
      </c>
      <c r="AD69" s="159" t="str">
        <f t="shared" si="4"/>
        <v/>
      </c>
      <c r="AE69" s="158" t="str">
        <f t="shared" si="5"/>
        <v/>
      </c>
      <c r="AF69" s="158" t="str">
        <f t="shared" si="6"/>
        <v/>
      </c>
      <c r="AG69" s="164" t="str">
        <f t="shared" si="7"/>
        <v/>
      </c>
      <c r="AH69" s="163" t="str">
        <f t="shared" si="8"/>
        <v/>
      </c>
      <c r="AI69" s="158" t="str">
        <f t="shared" si="9"/>
        <v/>
      </c>
      <c r="AJ69" s="159" t="str">
        <f t="shared" si="10"/>
        <v/>
      </c>
      <c r="AK69" s="158" t="str">
        <f t="shared" si="11"/>
        <v/>
      </c>
      <c r="AL69" s="158" t="str">
        <f t="shared" si="12"/>
        <v/>
      </c>
      <c r="AM69" s="158" t="str">
        <f t="shared" si="13"/>
        <v/>
      </c>
      <c r="AN69" s="159" t="str">
        <f t="shared" ca="1" si="14"/>
        <v/>
      </c>
      <c r="AO69" s="158" t="str">
        <f t="shared" si="15"/>
        <v/>
      </c>
      <c r="AP69" s="159" t="str">
        <f t="shared" si="16"/>
        <v/>
      </c>
      <c r="AQ69" s="158" t="str">
        <f t="shared" ca="1" si="17"/>
        <v/>
      </c>
      <c r="AR69" s="165" t="str">
        <f t="shared" si="18"/>
        <v/>
      </c>
      <c r="AS69" s="236" t="str">
        <f t="shared" si="19"/>
        <v/>
      </c>
      <c r="AT69" s="237" t="str">
        <f t="shared" ca="1" si="20"/>
        <v/>
      </c>
      <c r="AU69" s="165" t="str">
        <f t="shared" si="21"/>
        <v/>
      </c>
      <c r="AV69" s="231" t="str">
        <f t="shared" si="22"/>
        <v/>
      </c>
      <c r="AW69" s="68" t="str">
        <f t="shared" si="23"/>
        <v/>
      </c>
      <c r="AX69" s="69" t="str">
        <f t="shared" si="24"/>
        <v/>
      </c>
      <c r="AY69" s="69" t="str">
        <f t="shared" si="25"/>
        <v/>
      </c>
      <c r="AZ69" s="70" t="str">
        <f t="shared" ca="1" si="26"/>
        <v/>
      </c>
      <c r="BA69" s="71" t="str">
        <f t="shared" si="27"/>
        <v/>
      </c>
      <c r="BC69" s="87">
        <f t="shared" ca="1" si="28"/>
        <v>0</v>
      </c>
      <c r="BD69" s="88">
        <v>61</v>
      </c>
      <c r="BE69" s="31" t="str">
        <f t="shared" si="29"/>
        <v/>
      </c>
      <c r="BF69" s="32" t="str">
        <f t="shared" ca="1" si="30"/>
        <v/>
      </c>
      <c r="BG69" s="31" t="str">
        <f t="shared" si="31"/>
        <v/>
      </c>
      <c r="BH69" s="33" t="str">
        <f t="shared" si="32"/>
        <v/>
      </c>
      <c r="BI69" s="31" t="str">
        <f t="shared" ca="1" si="33"/>
        <v/>
      </c>
      <c r="BJ69" s="97" t="str">
        <f t="shared" ca="1" si="34"/>
        <v/>
      </c>
      <c r="BK69" s="98" t="str">
        <f t="shared" ca="1" si="35"/>
        <v/>
      </c>
    </row>
    <row r="70" spans="2:63" x14ac:dyDescent="0.25">
      <c r="B70" s="46">
        <v>62</v>
      </c>
      <c r="C70" s="50"/>
      <c r="D70" s="47"/>
      <c r="E70" s="38"/>
      <c r="F70" s="190"/>
      <c r="G70" s="131"/>
      <c r="H70" s="49"/>
      <c r="I70" s="45"/>
      <c r="J70" s="122"/>
      <c r="K70" s="48"/>
      <c r="L70" s="111"/>
      <c r="M70" s="126"/>
      <c r="N70" s="195"/>
      <c r="O70" s="131"/>
      <c r="P70" s="107"/>
      <c r="Q70" s="45"/>
      <c r="R70" s="122"/>
      <c r="S70" s="111"/>
      <c r="T70" s="114"/>
      <c r="U70" s="114"/>
      <c r="V70" s="195"/>
      <c r="W70" s="138"/>
      <c r="X70" s="144"/>
      <c r="Y70" s="147"/>
      <c r="Z70" s="161" t="str">
        <f t="shared" si="0"/>
        <v/>
      </c>
      <c r="AA70" s="162" t="str">
        <f t="shared" si="1"/>
        <v/>
      </c>
      <c r="AB70" s="163" t="str">
        <f t="shared" si="2"/>
        <v/>
      </c>
      <c r="AC70" s="158" t="str">
        <f t="shared" si="3"/>
        <v/>
      </c>
      <c r="AD70" s="159" t="str">
        <f t="shared" si="4"/>
        <v/>
      </c>
      <c r="AE70" s="158" t="str">
        <f t="shared" si="5"/>
        <v/>
      </c>
      <c r="AF70" s="158" t="str">
        <f t="shared" si="6"/>
        <v/>
      </c>
      <c r="AG70" s="164" t="str">
        <f t="shared" si="7"/>
        <v/>
      </c>
      <c r="AH70" s="163" t="str">
        <f t="shared" si="8"/>
        <v/>
      </c>
      <c r="AI70" s="158" t="str">
        <f t="shared" si="9"/>
        <v/>
      </c>
      <c r="AJ70" s="159" t="str">
        <f t="shared" si="10"/>
        <v/>
      </c>
      <c r="AK70" s="158" t="str">
        <f t="shared" si="11"/>
        <v/>
      </c>
      <c r="AL70" s="158" t="str">
        <f t="shared" si="12"/>
        <v/>
      </c>
      <c r="AM70" s="158" t="str">
        <f t="shared" si="13"/>
        <v/>
      </c>
      <c r="AN70" s="159" t="str">
        <f t="shared" ca="1" si="14"/>
        <v/>
      </c>
      <c r="AO70" s="158" t="str">
        <f t="shared" si="15"/>
        <v/>
      </c>
      <c r="AP70" s="159" t="str">
        <f t="shared" si="16"/>
        <v/>
      </c>
      <c r="AQ70" s="158" t="str">
        <f t="shared" ca="1" si="17"/>
        <v/>
      </c>
      <c r="AR70" s="165" t="str">
        <f t="shared" si="18"/>
        <v/>
      </c>
      <c r="AS70" s="236" t="str">
        <f t="shared" si="19"/>
        <v/>
      </c>
      <c r="AT70" s="237" t="str">
        <f t="shared" ca="1" si="20"/>
        <v/>
      </c>
      <c r="AU70" s="165" t="str">
        <f t="shared" si="21"/>
        <v/>
      </c>
      <c r="AV70" s="231" t="str">
        <f t="shared" si="22"/>
        <v/>
      </c>
      <c r="AW70" s="68" t="str">
        <f t="shared" si="23"/>
        <v/>
      </c>
      <c r="AX70" s="69" t="str">
        <f t="shared" si="24"/>
        <v/>
      </c>
      <c r="AY70" s="69" t="str">
        <f t="shared" si="25"/>
        <v/>
      </c>
      <c r="AZ70" s="70" t="str">
        <f t="shared" ca="1" si="26"/>
        <v/>
      </c>
      <c r="BA70" s="71" t="str">
        <f t="shared" si="27"/>
        <v/>
      </c>
      <c r="BC70" s="87">
        <f t="shared" ca="1" si="28"/>
        <v>0</v>
      </c>
      <c r="BD70" s="88">
        <v>62</v>
      </c>
      <c r="BE70" s="31" t="str">
        <f t="shared" si="29"/>
        <v/>
      </c>
      <c r="BF70" s="32" t="str">
        <f t="shared" ca="1" si="30"/>
        <v/>
      </c>
      <c r="BG70" s="31" t="str">
        <f t="shared" si="31"/>
        <v/>
      </c>
      <c r="BH70" s="33" t="str">
        <f t="shared" si="32"/>
        <v/>
      </c>
      <c r="BI70" s="31" t="str">
        <f t="shared" ca="1" si="33"/>
        <v/>
      </c>
      <c r="BJ70" s="97" t="str">
        <f t="shared" ca="1" si="34"/>
        <v/>
      </c>
      <c r="BK70" s="98" t="str">
        <f t="shared" ca="1" si="35"/>
        <v/>
      </c>
    </row>
    <row r="71" spans="2:63" x14ac:dyDescent="0.25">
      <c r="B71" s="46">
        <v>63</v>
      </c>
      <c r="C71" s="50"/>
      <c r="D71" s="47"/>
      <c r="E71" s="38"/>
      <c r="F71" s="190"/>
      <c r="G71" s="131"/>
      <c r="H71" s="49"/>
      <c r="I71" s="45"/>
      <c r="J71" s="122"/>
      <c r="K71" s="48"/>
      <c r="L71" s="111"/>
      <c r="M71" s="126"/>
      <c r="N71" s="195"/>
      <c r="O71" s="131"/>
      <c r="P71" s="107"/>
      <c r="Q71" s="45"/>
      <c r="R71" s="122"/>
      <c r="S71" s="111"/>
      <c r="T71" s="114"/>
      <c r="U71" s="114"/>
      <c r="V71" s="195"/>
      <c r="W71" s="138"/>
      <c r="X71" s="144"/>
      <c r="Y71" s="147"/>
      <c r="Z71" s="161" t="str">
        <f t="shared" si="0"/>
        <v/>
      </c>
      <c r="AA71" s="162" t="str">
        <f t="shared" si="1"/>
        <v/>
      </c>
      <c r="AB71" s="163" t="str">
        <f t="shared" si="2"/>
        <v/>
      </c>
      <c r="AC71" s="158" t="str">
        <f t="shared" si="3"/>
        <v/>
      </c>
      <c r="AD71" s="159" t="str">
        <f t="shared" si="4"/>
        <v/>
      </c>
      <c r="AE71" s="158" t="str">
        <f t="shared" si="5"/>
        <v/>
      </c>
      <c r="AF71" s="158" t="str">
        <f t="shared" si="6"/>
        <v/>
      </c>
      <c r="AG71" s="164" t="str">
        <f t="shared" si="7"/>
        <v/>
      </c>
      <c r="AH71" s="163" t="str">
        <f t="shared" si="8"/>
        <v/>
      </c>
      <c r="AI71" s="158" t="str">
        <f t="shared" si="9"/>
        <v/>
      </c>
      <c r="AJ71" s="159" t="str">
        <f t="shared" si="10"/>
        <v/>
      </c>
      <c r="AK71" s="158" t="str">
        <f t="shared" si="11"/>
        <v/>
      </c>
      <c r="AL71" s="158" t="str">
        <f t="shared" si="12"/>
        <v/>
      </c>
      <c r="AM71" s="158" t="str">
        <f t="shared" si="13"/>
        <v/>
      </c>
      <c r="AN71" s="159" t="str">
        <f t="shared" ca="1" si="14"/>
        <v/>
      </c>
      <c r="AO71" s="158" t="str">
        <f t="shared" si="15"/>
        <v/>
      </c>
      <c r="AP71" s="159" t="str">
        <f t="shared" si="16"/>
        <v/>
      </c>
      <c r="AQ71" s="158" t="str">
        <f t="shared" ca="1" si="17"/>
        <v/>
      </c>
      <c r="AR71" s="165" t="str">
        <f t="shared" si="18"/>
        <v/>
      </c>
      <c r="AS71" s="236" t="str">
        <f t="shared" si="19"/>
        <v/>
      </c>
      <c r="AT71" s="237" t="str">
        <f t="shared" ca="1" si="20"/>
        <v/>
      </c>
      <c r="AU71" s="165" t="str">
        <f t="shared" si="21"/>
        <v/>
      </c>
      <c r="AV71" s="231" t="str">
        <f t="shared" si="22"/>
        <v/>
      </c>
      <c r="AW71" s="68" t="str">
        <f t="shared" si="23"/>
        <v/>
      </c>
      <c r="AX71" s="69" t="str">
        <f t="shared" si="24"/>
        <v/>
      </c>
      <c r="AY71" s="69" t="str">
        <f t="shared" si="25"/>
        <v/>
      </c>
      <c r="AZ71" s="70" t="str">
        <f t="shared" ca="1" si="26"/>
        <v/>
      </c>
      <c r="BA71" s="71" t="str">
        <f t="shared" si="27"/>
        <v/>
      </c>
      <c r="BC71" s="87">
        <f t="shared" ca="1" si="28"/>
        <v>0</v>
      </c>
      <c r="BD71" s="88">
        <v>63</v>
      </c>
      <c r="BE71" s="31" t="str">
        <f t="shared" si="29"/>
        <v/>
      </c>
      <c r="BF71" s="32" t="str">
        <f t="shared" ca="1" si="30"/>
        <v/>
      </c>
      <c r="BG71" s="31" t="str">
        <f t="shared" si="31"/>
        <v/>
      </c>
      <c r="BH71" s="33" t="str">
        <f t="shared" si="32"/>
        <v/>
      </c>
      <c r="BI71" s="31" t="str">
        <f t="shared" ca="1" si="33"/>
        <v/>
      </c>
      <c r="BJ71" s="97" t="str">
        <f t="shared" ca="1" si="34"/>
        <v/>
      </c>
      <c r="BK71" s="98" t="str">
        <f t="shared" ca="1" si="35"/>
        <v/>
      </c>
    </row>
    <row r="72" spans="2:63" x14ac:dyDescent="0.25">
      <c r="B72" s="51">
        <v>64</v>
      </c>
      <c r="C72" s="52"/>
      <c r="D72" s="53"/>
      <c r="E72" s="37"/>
      <c r="F72" s="191"/>
      <c r="G72" s="132"/>
      <c r="H72" s="56"/>
      <c r="I72" s="54"/>
      <c r="J72" s="123"/>
      <c r="K72" s="55"/>
      <c r="L72" s="112"/>
      <c r="M72" s="127"/>
      <c r="N72" s="196"/>
      <c r="O72" s="132"/>
      <c r="P72" s="108"/>
      <c r="Q72" s="54"/>
      <c r="R72" s="123"/>
      <c r="S72" s="112"/>
      <c r="T72" s="115"/>
      <c r="U72" s="115"/>
      <c r="V72" s="196"/>
      <c r="W72" s="139"/>
      <c r="X72" s="145"/>
      <c r="Y72" s="148"/>
      <c r="Z72" s="166" t="str">
        <f t="shared" si="0"/>
        <v/>
      </c>
      <c r="AA72" s="167" t="str">
        <f t="shared" si="1"/>
        <v/>
      </c>
      <c r="AB72" s="168" t="str">
        <f t="shared" si="2"/>
        <v/>
      </c>
      <c r="AC72" s="169" t="str">
        <f t="shared" si="3"/>
        <v/>
      </c>
      <c r="AD72" s="170" t="str">
        <f t="shared" si="4"/>
        <v/>
      </c>
      <c r="AE72" s="169" t="str">
        <f t="shared" si="5"/>
        <v/>
      </c>
      <c r="AF72" s="169" t="str">
        <f t="shared" si="6"/>
        <v/>
      </c>
      <c r="AG72" s="171" t="str">
        <f t="shared" si="7"/>
        <v/>
      </c>
      <c r="AH72" s="168" t="str">
        <f t="shared" si="8"/>
        <v/>
      </c>
      <c r="AI72" s="169" t="str">
        <f t="shared" si="9"/>
        <v/>
      </c>
      <c r="AJ72" s="170" t="str">
        <f t="shared" si="10"/>
        <v/>
      </c>
      <c r="AK72" s="169" t="str">
        <f t="shared" si="11"/>
        <v/>
      </c>
      <c r="AL72" s="169" t="str">
        <f t="shared" si="12"/>
        <v/>
      </c>
      <c r="AM72" s="169" t="str">
        <f t="shared" si="13"/>
        <v/>
      </c>
      <c r="AN72" s="170" t="str">
        <f t="shared" ca="1" si="14"/>
        <v/>
      </c>
      <c r="AO72" s="169" t="str">
        <f t="shared" si="15"/>
        <v/>
      </c>
      <c r="AP72" s="170" t="str">
        <f t="shared" si="16"/>
        <v/>
      </c>
      <c r="AQ72" s="169" t="str">
        <f t="shared" ca="1" si="17"/>
        <v/>
      </c>
      <c r="AR72" s="172" t="str">
        <f t="shared" si="18"/>
        <v/>
      </c>
      <c r="AS72" s="238" t="str">
        <f t="shared" si="19"/>
        <v/>
      </c>
      <c r="AT72" s="239" t="str">
        <f t="shared" ca="1" si="20"/>
        <v/>
      </c>
      <c r="AU72" s="172" t="str">
        <f t="shared" si="21"/>
        <v/>
      </c>
      <c r="AV72" s="232" t="str">
        <f t="shared" si="22"/>
        <v/>
      </c>
      <c r="AW72" s="72" t="str">
        <f t="shared" si="23"/>
        <v/>
      </c>
      <c r="AX72" s="73" t="str">
        <f t="shared" si="24"/>
        <v/>
      </c>
      <c r="AY72" s="73" t="str">
        <f t="shared" si="25"/>
        <v/>
      </c>
      <c r="AZ72" s="74" t="str">
        <f t="shared" ca="1" si="26"/>
        <v/>
      </c>
      <c r="BA72" s="75" t="str">
        <f t="shared" si="27"/>
        <v/>
      </c>
      <c r="BC72" s="89">
        <f t="shared" ca="1" si="28"/>
        <v>0</v>
      </c>
      <c r="BD72" s="90">
        <v>64</v>
      </c>
      <c r="BE72" s="27" t="str">
        <f t="shared" si="29"/>
        <v/>
      </c>
      <c r="BF72" s="28" t="str">
        <f t="shared" ca="1" si="30"/>
        <v/>
      </c>
      <c r="BG72" s="27" t="str">
        <f t="shared" si="31"/>
        <v/>
      </c>
      <c r="BH72" s="29" t="str">
        <f t="shared" si="32"/>
        <v/>
      </c>
      <c r="BI72" s="27" t="str">
        <f t="shared" ca="1" si="33"/>
        <v/>
      </c>
      <c r="BJ72" s="99" t="str">
        <f t="shared" ca="1" si="34"/>
        <v/>
      </c>
      <c r="BK72" s="100" t="str">
        <f t="shared" ca="1" si="35"/>
        <v/>
      </c>
    </row>
    <row r="73" spans="2:63" x14ac:dyDescent="0.25">
      <c r="B73" s="51">
        <v>65</v>
      </c>
      <c r="C73" s="52"/>
      <c r="D73" s="53"/>
      <c r="E73" s="37"/>
      <c r="F73" s="191"/>
      <c r="G73" s="132"/>
      <c r="H73" s="56"/>
      <c r="I73" s="54"/>
      <c r="J73" s="123"/>
      <c r="K73" s="55"/>
      <c r="L73" s="112"/>
      <c r="M73" s="127"/>
      <c r="N73" s="196"/>
      <c r="O73" s="132"/>
      <c r="P73" s="108"/>
      <c r="Q73" s="54"/>
      <c r="R73" s="123"/>
      <c r="S73" s="112"/>
      <c r="T73" s="115"/>
      <c r="U73" s="115"/>
      <c r="V73" s="196"/>
      <c r="W73" s="139"/>
      <c r="X73" s="145"/>
      <c r="Y73" s="148"/>
      <c r="Z73" s="166" t="str">
        <f t="shared" si="0"/>
        <v/>
      </c>
      <c r="AA73" s="167" t="str">
        <f t="shared" si="1"/>
        <v/>
      </c>
      <c r="AB73" s="168" t="str">
        <f t="shared" si="2"/>
        <v/>
      </c>
      <c r="AC73" s="169" t="str">
        <f t="shared" si="3"/>
        <v/>
      </c>
      <c r="AD73" s="170" t="str">
        <f t="shared" si="4"/>
        <v/>
      </c>
      <c r="AE73" s="169" t="str">
        <f t="shared" si="5"/>
        <v/>
      </c>
      <c r="AF73" s="169" t="str">
        <f t="shared" si="6"/>
        <v/>
      </c>
      <c r="AG73" s="171" t="str">
        <f t="shared" si="7"/>
        <v/>
      </c>
      <c r="AH73" s="168" t="str">
        <f t="shared" si="8"/>
        <v/>
      </c>
      <c r="AI73" s="169" t="str">
        <f t="shared" si="9"/>
        <v/>
      </c>
      <c r="AJ73" s="170" t="str">
        <f t="shared" si="10"/>
        <v/>
      </c>
      <c r="AK73" s="169" t="str">
        <f t="shared" si="11"/>
        <v/>
      </c>
      <c r="AL73" s="169" t="str">
        <f t="shared" si="12"/>
        <v/>
      </c>
      <c r="AM73" s="169" t="str">
        <f t="shared" si="13"/>
        <v/>
      </c>
      <c r="AN73" s="170" t="str">
        <f t="shared" ca="1" si="14"/>
        <v/>
      </c>
      <c r="AO73" s="169" t="str">
        <f t="shared" si="15"/>
        <v/>
      </c>
      <c r="AP73" s="170" t="str">
        <f t="shared" si="16"/>
        <v/>
      </c>
      <c r="AQ73" s="169" t="str">
        <f t="shared" ca="1" si="17"/>
        <v/>
      </c>
      <c r="AR73" s="172" t="str">
        <f t="shared" si="18"/>
        <v/>
      </c>
      <c r="AS73" s="238" t="str">
        <f t="shared" si="19"/>
        <v/>
      </c>
      <c r="AT73" s="239" t="str">
        <f t="shared" ca="1" si="20"/>
        <v/>
      </c>
      <c r="AU73" s="172" t="str">
        <f t="shared" si="21"/>
        <v/>
      </c>
      <c r="AV73" s="232" t="str">
        <f t="shared" si="22"/>
        <v/>
      </c>
      <c r="AW73" s="72" t="str">
        <f t="shared" si="23"/>
        <v/>
      </c>
      <c r="AX73" s="73" t="str">
        <f t="shared" si="24"/>
        <v/>
      </c>
      <c r="AY73" s="73" t="str">
        <f t="shared" si="25"/>
        <v/>
      </c>
      <c r="AZ73" s="74" t="str">
        <f t="shared" ca="1" si="26"/>
        <v/>
      </c>
      <c r="BA73" s="75" t="str">
        <f t="shared" si="27"/>
        <v/>
      </c>
      <c r="BC73" s="89">
        <f t="shared" ca="1" si="28"/>
        <v>0</v>
      </c>
      <c r="BD73" s="90">
        <v>65</v>
      </c>
      <c r="BE73" s="27" t="str">
        <f t="shared" si="29"/>
        <v/>
      </c>
      <c r="BF73" s="28" t="str">
        <f t="shared" ca="1" si="30"/>
        <v/>
      </c>
      <c r="BG73" s="27" t="str">
        <f t="shared" si="31"/>
        <v/>
      </c>
      <c r="BH73" s="29" t="str">
        <f t="shared" si="32"/>
        <v/>
      </c>
      <c r="BI73" s="27" t="str">
        <f t="shared" ca="1" si="33"/>
        <v/>
      </c>
      <c r="BJ73" s="99" t="str">
        <f t="shared" ca="1" si="34"/>
        <v/>
      </c>
      <c r="BK73" s="100" t="str">
        <f t="shared" ca="1" si="35"/>
        <v/>
      </c>
    </row>
    <row r="74" spans="2:63" x14ac:dyDescent="0.25">
      <c r="B74" s="51">
        <v>66</v>
      </c>
      <c r="C74" s="52"/>
      <c r="D74" s="53"/>
      <c r="E74" s="37"/>
      <c r="F74" s="191"/>
      <c r="G74" s="132"/>
      <c r="H74" s="56"/>
      <c r="I74" s="54"/>
      <c r="J74" s="123"/>
      <c r="K74" s="55"/>
      <c r="L74" s="112"/>
      <c r="M74" s="127"/>
      <c r="N74" s="196"/>
      <c r="O74" s="132"/>
      <c r="P74" s="108"/>
      <c r="Q74" s="54"/>
      <c r="R74" s="123"/>
      <c r="S74" s="112"/>
      <c r="T74" s="115"/>
      <c r="U74" s="115"/>
      <c r="V74" s="196"/>
      <c r="W74" s="139"/>
      <c r="X74" s="145"/>
      <c r="Y74" s="148"/>
      <c r="Z74" s="166" t="str">
        <f t="shared" ref="Z74:Z108" si="36">IF(ISBLANK(C74),"",ROW(C74)-8)</f>
        <v/>
      </c>
      <c r="AA74" s="167" t="str">
        <f t="shared" ref="AA74:AA108" si="37">IF(ISBLANK($C74),"",
IF(OR(LEFT($Y74)="y",LEFT($Y74)="t",$Y74=1), "DQ",
IF(AND(ISBLANK($K74), ISBLANK($L74), ISBLANK($M74), ISBLANK($J74), ISBLANK($S74), ISBLANK($T74), ISBLANK($U74), ISBLANK($R74),NOT(OR(LEFT($O74)="y",LEFT($O74)="t",$O74=1, LEFT($W74)="y",LEFT($W74)="t",$W74=1))),"NS",
IF(OR(AND(ISBLANK(K74), ISBLANK(L74), ISBLANK(M74)), ISBLANK(J74),LEFT(O74)="y",LEFT($O74)="t",$O74=1,LEFT(F74)="n",LEFT(F74)="f"),"P",
1
)
)
)
)</f>
        <v/>
      </c>
      <c r="AB74" s="168" t="str">
        <f t="shared" ref="AB74:AB108" si="38">IF(ISBLANK($C74),"",IF(ISNUMBER(AA74),ROUND(J74,1)*4,AA74))</f>
        <v/>
      </c>
      <c r="AC74" s="169" t="str">
        <f t="shared" ref="AC74:AC108" si="39">IF(ISBLANK($C74),"",IF(ISNUMBER(AA74),
2*ROUND(MEDIAN(K74:M74),2),AA74))</f>
        <v/>
      </c>
      <c r="AD74" s="170" t="str">
        <f t="shared" ref="AD74:AD108" si="40">IF(ISBLANK($C74),"",
    IF(ISNUMBER(AA74),
        MIN(3,(IF(ISBLANK($G74),0,$G74)+IF(ISBLANK(H74),0,H74)))*5000+
        IF(ISBLANK(I74),0,MIN(4,I74))*1000+
        IF(OR(LEFT($E74)="n",LEFT($E74)="f"),10000,0)+
IF($X74="Incomplete",250,IF($X74="Missing",500,0)),
    AA74)
)</f>
        <v/>
      </c>
      <c r="AE74" s="169" t="str">
        <f t="shared" ref="AE74:AE108" si="41">IF(ISBLANK($C74),"",IF(ISNUMBER(AA74),SUM(AB74:AD74)+IF(OR(LEFT(N74)="y",LEFT(N74)="t",N74=1),-25,0),AA74))</f>
        <v/>
      </c>
      <c r="AF74" s="169" t="str">
        <f t="shared" ref="AF74:AF108" si="42">IF(ISBLANK($C74),"",
IF(AND(ISNUMBER(AA74),ISNUMBER(AG74)), IF(AE74=AK74,"=",IF(AE74&gt;AK74,"-&gt;","&lt;-")),
IF(OR(AA74="DQ",AA74="NS"), IF(AA74="DQ","DQ","NS"),
IF(OR(AND(AA74="P",AG74="P"),AND(AA74="P",AG74="NS"),AND(AA74="NS",AG74="P")),"P",IF(AA74="P", "-&gt;","&lt;-"))
)
)
)</f>
        <v/>
      </c>
      <c r="AG74" s="171" t="str">
        <f t="shared" ref="AG74:AG108" si="43">IF(ISBLANK($C74),"",
IF(OR(LEFT($Y74)="y",LEFT($Y74)="t",$Y74=1), "DQ",
IF(AND(ISBLANK($K74), ISBLANK($L74), ISBLANK($M74), ISBLANK($J74), ISBLANK($S74), ISBLANK($T74), ISBLANK($U74), ISBLANK($R74),NOT(OR(LEFT($O74)="y",LEFT($O74)="t",$O74=1, LEFT($W74)="y",LEFT($W74)="t",$W74=1))),"NS",
IF(OR(AND(ISBLANK(S74), ISBLANK(T74), ISBLANK(U74)), ISBLANK(R74),LEFT(W74)="y",LEFT($W74)="t",$W74=1,LEFT(F74)="n",LEFT(F74)="f"),"P",
1
)
)
)
)</f>
        <v/>
      </c>
      <c r="AH74" s="168" t="str">
        <f t="shared" ref="AH74:AH108" si="44">IF(ISBLANK($C74),"",IF(ISNUMBER(AG74),ROUND(R74,1)*4,AG74))</f>
        <v/>
      </c>
      <c r="AI74" s="169" t="str">
        <f t="shared" ref="AI74:AI108" si="45">IF(ISBLANK($C74),"",IF(ISNUMBER(AG74),
2*ROUND(MEDIAN(S74:U74),2),AG74))</f>
        <v/>
      </c>
      <c r="AJ74" s="170" t="str">
        <f t="shared" ref="AJ74:AJ108" si="46">IF(ISBLANK($C74),"",
    IF(ISNUMBER(AG74),
        MIN(3,(IF(ISBLANK($G74),0,$G74)+IF(ISBLANK(P74),0,P74)))*5000+
        IF(ISBLANK(Q74),0,MIN(4,Q74))*1000+
        IF(OR(LEFT($E74)="n",LEFT($E74)="f"),10000,0)+
IF($X74="Incomplete",250,IF($X74="Missing",500,0)),
    AG74)
)</f>
        <v/>
      </c>
      <c r="AK74" s="169" t="str">
        <f t="shared" ref="AK74:AK108" si="47">IF(ISBLANK($C74),"",IF(ISNUMBER($AG74),SUM(AH74:AJ74)+IF(OR(LEFT(V74)="y",LEFT(V74)="t",V74=1),-25,0),AG74))</f>
        <v/>
      </c>
      <c r="AL74" s="169" t="str">
        <f t="shared" ref="AL74:AL108" si="48">IF(ISBLANK($C74),"",IF(OR(AF74="NS",AF74="P",AF74="DQ"),AF74,IF(AF74="&lt;-",AA74,AG74)))</f>
        <v/>
      </c>
      <c r="AM74" s="169" t="str">
        <f t="shared" ref="AM74:AM108" si="49">IF(ISBLANK($C74),"",IF(OR(AF74="NS",AF74="P",AF74="DQ"),AF74,IF(AF74="&lt;-",AE74,AK74)))</f>
        <v/>
      </c>
      <c r="AN74" s="170" t="str">
        <f t="shared" ref="AN74:AN108" ca="1" si="50">IF(ISBLANK($C74),"",IF(ISNUMBER($AM74),RANK(AM74,OFFSET(AM$9,0,0,$Z$2),1),AM74))</f>
        <v/>
      </c>
      <c r="AO74" s="169" t="str">
        <f t="shared" ref="AO74:AO108" si="51">IF(ISBLANK($C74),"",IF(ISNUMBER($AN74),IF($AF74="=",MIN(AB74,AH74),IF($AF74="&lt;-",AB74,AH74)),$AN74))</f>
        <v/>
      </c>
      <c r="AP74" s="170" t="str">
        <f t="shared" ref="AP74:AP108" si="52">IF(ISBLANK($C74),"",IF(ISNUMBER($AN74),AN74+AO74/(MAX(AO$9:AO$108,1)*2),$AN74))</f>
        <v/>
      </c>
      <c r="AQ74" s="169" t="str">
        <f t="shared" ref="AQ74:AQ108" ca="1" si="53">IF(ISBLANK($C74),"",IF(ISNUMBER($AN74),RANK(AP74,OFFSET(AP$9,0,0,$Z$2),1),$AN74))</f>
        <v/>
      </c>
      <c r="AR74" s="172" t="str">
        <f t="shared" ref="AR74:AR108" si="54">IF(ISBLANK($C74),"",IF(ISNUMBER($AN74),IF($AF74="=",MIN(AC74,AI74),IF($AF74="&lt;-",AC74,AI74)),$AN74))</f>
        <v/>
      </c>
      <c r="AS74" s="238" t="str">
        <f t="shared" ref="AS74:AS108" si="55">IF(ISBLANK($C74),"",IF(ISNUMBER($AN74),AQ74+AR74/(MAX(AR$9:AR$108,1)*2),$AN74))</f>
        <v/>
      </c>
      <c r="AT74" s="239" t="str">
        <f t="shared" ref="AT74:AT108" ca="1" si="56">IF(ISBLANK($C74),"",IF(ISNUMBER($AN74),RANK(AS74,OFFSET(AS$9,0,0,$Z$2),1),$AN74))</f>
        <v/>
      </c>
      <c r="AU74" s="172" t="str">
        <f t="shared" ref="AU74:AU108" si="57">IF(ISBLANK($C74),"",IF(ISNUMBER($AN74),IF($AF74="=",MIN(AH74,AN74),IF($AF74="&lt;-",AH74,AN74)),$AN74))</f>
        <v/>
      </c>
      <c r="AV74" s="232" t="str">
        <f t="shared" ref="AV74:AV108" si="58">IF(ISBLANK($C74),"",IF(ISNUMBER($AN74),AT74+IF(ISNUMBER(AU74),AU74/ABS((MAX(MAX(AU$9:AU$108,1),-MIN(AU$9:AU$108,1)))*2),0.6),$AN74))</f>
        <v/>
      </c>
      <c r="AW74" s="72" t="str">
        <f t="shared" ref="AW74:AW108" si="59">IF(ROW(C74)-8&gt;$Z$2,"",  IF(ISBLANK($C74),"NS",IF(OR(ISNUMBER($AL74),ISNUMBER($AM74)),AM74,$AL74)))</f>
        <v/>
      </c>
      <c r="AX74" s="73" t="str">
        <f t="shared" ref="AX74:AX108" si="60">IF(ROW(C74)-8&gt;$Z$2,"",IF(ISBLANK($C74),"NS",AL74))</f>
        <v/>
      </c>
      <c r="AY74" s="73" t="str">
        <f t="shared" ref="AY74:AY108" si="61">IF(ROW(C74)-8&gt;$Z$2,"",IF(ISBLANK($C74),"NS",IF(ISNUMBER(AS74),AN74-AZ74,AS74)))</f>
        <v/>
      </c>
      <c r="AZ74" s="74" t="str">
        <f t="shared" ref="AZ74:AZ108" ca="1" si="62">IF(ROW(C74)-8&gt;$Z$2,"",IF(ISBLANK($C74),"NS",IF(ISNUMBER(AS74),RANK(AS74,OFFSET($AS$9,0,0,$Z$2),1),AS74)))</f>
        <v/>
      </c>
      <c r="BA74" s="75" t="str">
        <f t="shared" ref="BA74:BA108" si="63">IF(ROW(C74)-8&gt;$Z$2,"",IF(ISNUMBER(AZ74),AZ74,IF(AZ74="P",$Z$2,IF(AZ74="NS",$Z$2+1,IF(AZ74="DQ",$Z$2+2)))))</f>
        <v/>
      </c>
      <c r="BC74" s="89">
        <f t="shared" ref="BC74:BC108" ca="1" si="64">IF(ISNUMBER(AZ74),1,0)</f>
        <v>0</v>
      </c>
      <c r="BD74" s="90">
        <v>66</v>
      </c>
      <c r="BE74" s="27" t="str">
        <f t="shared" ref="BE74:BE108" si="65">IF(ISBLANK($C74),"",BA74+ROW($B74)/1000)</f>
        <v/>
      </c>
      <c r="BF74" s="28" t="str">
        <f t="shared" ref="BF74:BF108" ca="1" si="66">IF(ISBLANK($C74),"",RANK(BE74,OFFSET(BE$9,0,0,$Z$2),1))</f>
        <v/>
      </c>
      <c r="BG74" s="27" t="str">
        <f t="shared" ref="BG74:BG108" si="67">IF(ISBLANK($C74),"",$C74)</f>
        <v/>
      </c>
      <c r="BH74" s="29" t="str">
        <f t="shared" ref="BH74:BH108" si="68">IF(ISBLANK($C74),"",BA74)</f>
        <v/>
      </c>
      <c r="BI74" s="27" t="str">
        <f t="shared" ref="BI74:BI108" ca="1" si="69">AZ74</f>
        <v/>
      </c>
      <c r="BJ74" s="99" t="str">
        <f t="shared" ref="BJ74:BJ108" ca="1" si="70">IF(BD74&gt;BC$4,"",VLOOKUP(BD74,OFFSET(BF$9,0,0,$Z$2,4),4,FALSE))</f>
        <v/>
      </c>
      <c r="BK74" s="100" t="str">
        <f t="shared" ref="BK74:BK108" ca="1" si="71">IF(BD74&gt;BC$4,"",VLOOKUP(BD74,OFFSET(BF$9,0,0,$Z$2,4),2,FALSE))</f>
        <v/>
      </c>
    </row>
    <row r="75" spans="2:63" x14ac:dyDescent="0.25">
      <c r="B75" s="46">
        <v>67</v>
      </c>
      <c r="C75" s="50"/>
      <c r="D75" s="47"/>
      <c r="E75" s="38"/>
      <c r="F75" s="190"/>
      <c r="G75" s="131"/>
      <c r="H75" s="49"/>
      <c r="I75" s="45"/>
      <c r="J75" s="122"/>
      <c r="K75" s="48"/>
      <c r="L75" s="111"/>
      <c r="M75" s="126"/>
      <c r="N75" s="195"/>
      <c r="O75" s="131"/>
      <c r="P75" s="107"/>
      <c r="Q75" s="45"/>
      <c r="R75" s="122"/>
      <c r="S75" s="111"/>
      <c r="T75" s="114"/>
      <c r="U75" s="114"/>
      <c r="V75" s="195"/>
      <c r="W75" s="138"/>
      <c r="X75" s="144"/>
      <c r="Y75" s="147"/>
      <c r="Z75" s="161" t="str">
        <f t="shared" si="36"/>
        <v/>
      </c>
      <c r="AA75" s="162" t="str">
        <f t="shared" si="37"/>
        <v/>
      </c>
      <c r="AB75" s="163" t="str">
        <f t="shared" si="38"/>
        <v/>
      </c>
      <c r="AC75" s="158" t="str">
        <f t="shared" si="39"/>
        <v/>
      </c>
      <c r="AD75" s="159" t="str">
        <f t="shared" si="40"/>
        <v/>
      </c>
      <c r="AE75" s="158" t="str">
        <f t="shared" si="41"/>
        <v/>
      </c>
      <c r="AF75" s="158" t="str">
        <f t="shared" si="42"/>
        <v/>
      </c>
      <c r="AG75" s="164" t="str">
        <f t="shared" si="43"/>
        <v/>
      </c>
      <c r="AH75" s="163" t="str">
        <f t="shared" si="44"/>
        <v/>
      </c>
      <c r="AI75" s="158" t="str">
        <f t="shared" si="45"/>
        <v/>
      </c>
      <c r="AJ75" s="159" t="str">
        <f t="shared" si="46"/>
        <v/>
      </c>
      <c r="AK75" s="158" t="str">
        <f t="shared" si="47"/>
        <v/>
      </c>
      <c r="AL75" s="158" t="str">
        <f t="shared" si="48"/>
        <v/>
      </c>
      <c r="AM75" s="158" t="str">
        <f t="shared" si="49"/>
        <v/>
      </c>
      <c r="AN75" s="159" t="str">
        <f t="shared" ca="1" si="50"/>
        <v/>
      </c>
      <c r="AO75" s="158" t="str">
        <f t="shared" si="51"/>
        <v/>
      </c>
      <c r="AP75" s="159" t="str">
        <f t="shared" si="52"/>
        <v/>
      </c>
      <c r="AQ75" s="158" t="str">
        <f t="shared" ca="1" si="53"/>
        <v/>
      </c>
      <c r="AR75" s="165" t="str">
        <f t="shared" si="54"/>
        <v/>
      </c>
      <c r="AS75" s="236" t="str">
        <f t="shared" si="55"/>
        <v/>
      </c>
      <c r="AT75" s="237" t="str">
        <f t="shared" ca="1" si="56"/>
        <v/>
      </c>
      <c r="AU75" s="165" t="str">
        <f t="shared" si="57"/>
        <v/>
      </c>
      <c r="AV75" s="231" t="str">
        <f t="shared" si="58"/>
        <v/>
      </c>
      <c r="AW75" s="68" t="str">
        <f t="shared" si="59"/>
        <v/>
      </c>
      <c r="AX75" s="69" t="str">
        <f t="shared" si="60"/>
        <v/>
      </c>
      <c r="AY75" s="69" t="str">
        <f t="shared" si="61"/>
        <v/>
      </c>
      <c r="AZ75" s="70" t="str">
        <f t="shared" ca="1" si="62"/>
        <v/>
      </c>
      <c r="BA75" s="71" t="str">
        <f t="shared" si="63"/>
        <v/>
      </c>
      <c r="BC75" s="87">
        <f t="shared" ca="1" si="64"/>
        <v>0</v>
      </c>
      <c r="BD75" s="88">
        <v>67</v>
      </c>
      <c r="BE75" s="31" t="str">
        <f t="shared" si="65"/>
        <v/>
      </c>
      <c r="BF75" s="32" t="str">
        <f t="shared" ca="1" si="66"/>
        <v/>
      </c>
      <c r="BG75" s="31" t="str">
        <f t="shared" si="67"/>
        <v/>
      </c>
      <c r="BH75" s="33" t="str">
        <f t="shared" si="68"/>
        <v/>
      </c>
      <c r="BI75" s="31" t="str">
        <f t="shared" ca="1" si="69"/>
        <v/>
      </c>
      <c r="BJ75" s="97" t="str">
        <f t="shared" ca="1" si="70"/>
        <v/>
      </c>
      <c r="BK75" s="98" t="str">
        <f t="shared" ca="1" si="71"/>
        <v/>
      </c>
    </row>
    <row r="76" spans="2:63" x14ac:dyDescent="0.25">
      <c r="B76" s="46">
        <v>68</v>
      </c>
      <c r="C76" s="50"/>
      <c r="D76" s="47"/>
      <c r="E76" s="38"/>
      <c r="F76" s="190"/>
      <c r="G76" s="131"/>
      <c r="H76" s="49"/>
      <c r="I76" s="45"/>
      <c r="J76" s="122"/>
      <c r="K76" s="48"/>
      <c r="L76" s="111"/>
      <c r="M76" s="126"/>
      <c r="N76" s="195"/>
      <c r="O76" s="131"/>
      <c r="P76" s="107"/>
      <c r="Q76" s="45"/>
      <c r="R76" s="122"/>
      <c r="S76" s="111"/>
      <c r="T76" s="114"/>
      <c r="U76" s="114"/>
      <c r="V76" s="195"/>
      <c r="W76" s="138"/>
      <c r="X76" s="144"/>
      <c r="Y76" s="147"/>
      <c r="Z76" s="161" t="str">
        <f t="shared" si="36"/>
        <v/>
      </c>
      <c r="AA76" s="162" t="str">
        <f t="shared" si="37"/>
        <v/>
      </c>
      <c r="AB76" s="163" t="str">
        <f t="shared" si="38"/>
        <v/>
      </c>
      <c r="AC76" s="158" t="str">
        <f t="shared" si="39"/>
        <v/>
      </c>
      <c r="AD76" s="159" t="str">
        <f t="shared" si="40"/>
        <v/>
      </c>
      <c r="AE76" s="158" t="str">
        <f t="shared" si="41"/>
        <v/>
      </c>
      <c r="AF76" s="158" t="str">
        <f t="shared" si="42"/>
        <v/>
      </c>
      <c r="AG76" s="164" t="str">
        <f t="shared" si="43"/>
        <v/>
      </c>
      <c r="AH76" s="163" t="str">
        <f t="shared" si="44"/>
        <v/>
      </c>
      <c r="AI76" s="158" t="str">
        <f t="shared" si="45"/>
        <v/>
      </c>
      <c r="AJ76" s="159" t="str">
        <f t="shared" si="46"/>
        <v/>
      </c>
      <c r="AK76" s="158" t="str">
        <f t="shared" si="47"/>
        <v/>
      </c>
      <c r="AL76" s="158" t="str">
        <f t="shared" si="48"/>
        <v/>
      </c>
      <c r="AM76" s="158" t="str">
        <f t="shared" si="49"/>
        <v/>
      </c>
      <c r="AN76" s="159" t="str">
        <f t="shared" ca="1" si="50"/>
        <v/>
      </c>
      <c r="AO76" s="158" t="str">
        <f t="shared" si="51"/>
        <v/>
      </c>
      <c r="AP76" s="159" t="str">
        <f t="shared" si="52"/>
        <v/>
      </c>
      <c r="AQ76" s="158" t="str">
        <f t="shared" ca="1" si="53"/>
        <v/>
      </c>
      <c r="AR76" s="165" t="str">
        <f t="shared" si="54"/>
        <v/>
      </c>
      <c r="AS76" s="236" t="str">
        <f t="shared" si="55"/>
        <v/>
      </c>
      <c r="AT76" s="237" t="str">
        <f t="shared" ca="1" si="56"/>
        <v/>
      </c>
      <c r="AU76" s="165" t="str">
        <f t="shared" si="57"/>
        <v/>
      </c>
      <c r="AV76" s="231" t="str">
        <f t="shared" si="58"/>
        <v/>
      </c>
      <c r="AW76" s="68" t="str">
        <f t="shared" si="59"/>
        <v/>
      </c>
      <c r="AX76" s="69" t="str">
        <f t="shared" si="60"/>
        <v/>
      </c>
      <c r="AY76" s="69" t="str">
        <f t="shared" si="61"/>
        <v/>
      </c>
      <c r="AZ76" s="70" t="str">
        <f t="shared" ca="1" si="62"/>
        <v/>
      </c>
      <c r="BA76" s="71" t="str">
        <f t="shared" si="63"/>
        <v/>
      </c>
      <c r="BC76" s="87">
        <f t="shared" ca="1" si="64"/>
        <v>0</v>
      </c>
      <c r="BD76" s="88">
        <v>68</v>
      </c>
      <c r="BE76" s="31" t="str">
        <f t="shared" si="65"/>
        <v/>
      </c>
      <c r="BF76" s="32" t="str">
        <f t="shared" ca="1" si="66"/>
        <v/>
      </c>
      <c r="BG76" s="31" t="str">
        <f t="shared" si="67"/>
        <v/>
      </c>
      <c r="BH76" s="33" t="str">
        <f t="shared" si="68"/>
        <v/>
      </c>
      <c r="BI76" s="31" t="str">
        <f t="shared" ca="1" si="69"/>
        <v/>
      </c>
      <c r="BJ76" s="97" t="str">
        <f t="shared" ca="1" si="70"/>
        <v/>
      </c>
      <c r="BK76" s="98" t="str">
        <f t="shared" ca="1" si="71"/>
        <v/>
      </c>
    </row>
    <row r="77" spans="2:63" x14ac:dyDescent="0.25">
      <c r="B77" s="46">
        <v>69</v>
      </c>
      <c r="C77" s="50"/>
      <c r="D77" s="47"/>
      <c r="E77" s="38"/>
      <c r="F77" s="190"/>
      <c r="G77" s="131"/>
      <c r="H77" s="49"/>
      <c r="I77" s="45"/>
      <c r="J77" s="122"/>
      <c r="K77" s="48"/>
      <c r="L77" s="111"/>
      <c r="M77" s="126"/>
      <c r="N77" s="195"/>
      <c r="O77" s="131"/>
      <c r="P77" s="107"/>
      <c r="Q77" s="45"/>
      <c r="R77" s="122"/>
      <c r="S77" s="111"/>
      <c r="T77" s="114"/>
      <c r="U77" s="114"/>
      <c r="V77" s="195"/>
      <c r="W77" s="138"/>
      <c r="X77" s="144"/>
      <c r="Y77" s="147"/>
      <c r="Z77" s="161" t="str">
        <f t="shared" si="36"/>
        <v/>
      </c>
      <c r="AA77" s="162" t="str">
        <f t="shared" si="37"/>
        <v/>
      </c>
      <c r="AB77" s="163" t="str">
        <f t="shared" si="38"/>
        <v/>
      </c>
      <c r="AC77" s="158" t="str">
        <f t="shared" si="39"/>
        <v/>
      </c>
      <c r="AD77" s="159" t="str">
        <f t="shared" si="40"/>
        <v/>
      </c>
      <c r="AE77" s="158" t="str">
        <f t="shared" si="41"/>
        <v/>
      </c>
      <c r="AF77" s="158" t="str">
        <f t="shared" si="42"/>
        <v/>
      </c>
      <c r="AG77" s="164" t="str">
        <f t="shared" si="43"/>
        <v/>
      </c>
      <c r="AH77" s="163" t="str">
        <f t="shared" si="44"/>
        <v/>
      </c>
      <c r="AI77" s="158" t="str">
        <f t="shared" si="45"/>
        <v/>
      </c>
      <c r="AJ77" s="159" t="str">
        <f t="shared" si="46"/>
        <v/>
      </c>
      <c r="AK77" s="158" t="str">
        <f t="shared" si="47"/>
        <v/>
      </c>
      <c r="AL77" s="158" t="str">
        <f t="shared" si="48"/>
        <v/>
      </c>
      <c r="AM77" s="158" t="str">
        <f t="shared" si="49"/>
        <v/>
      </c>
      <c r="AN77" s="159" t="str">
        <f t="shared" ca="1" si="50"/>
        <v/>
      </c>
      <c r="AO77" s="158" t="str">
        <f t="shared" si="51"/>
        <v/>
      </c>
      <c r="AP77" s="159" t="str">
        <f t="shared" si="52"/>
        <v/>
      </c>
      <c r="AQ77" s="158" t="str">
        <f t="shared" ca="1" si="53"/>
        <v/>
      </c>
      <c r="AR77" s="165" t="str">
        <f t="shared" si="54"/>
        <v/>
      </c>
      <c r="AS77" s="236" t="str">
        <f t="shared" si="55"/>
        <v/>
      </c>
      <c r="AT77" s="237" t="str">
        <f t="shared" ca="1" si="56"/>
        <v/>
      </c>
      <c r="AU77" s="165" t="str">
        <f t="shared" si="57"/>
        <v/>
      </c>
      <c r="AV77" s="231" t="str">
        <f t="shared" si="58"/>
        <v/>
      </c>
      <c r="AW77" s="68" t="str">
        <f t="shared" si="59"/>
        <v/>
      </c>
      <c r="AX77" s="69" t="str">
        <f t="shared" si="60"/>
        <v/>
      </c>
      <c r="AY77" s="69" t="str">
        <f t="shared" si="61"/>
        <v/>
      </c>
      <c r="AZ77" s="70" t="str">
        <f t="shared" ca="1" si="62"/>
        <v/>
      </c>
      <c r="BA77" s="71" t="str">
        <f t="shared" si="63"/>
        <v/>
      </c>
      <c r="BC77" s="87">
        <f t="shared" ca="1" si="64"/>
        <v>0</v>
      </c>
      <c r="BD77" s="88">
        <v>69</v>
      </c>
      <c r="BE77" s="31" t="str">
        <f t="shared" si="65"/>
        <v/>
      </c>
      <c r="BF77" s="32" t="str">
        <f t="shared" ca="1" si="66"/>
        <v/>
      </c>
      <c r="BG77" s="31" t="str">
        <f t="shared" si="67"/>
        <v/>
      </c>
      <c r="BH77" s="33" t="str">
        <f t="shared" si="68"/>
        <v/>
      </c>
      <c r="BI77" s="31" t="str">
        <f t="shared" ca="1" si="69"/>
        <v/>
      </c>
      <c r="BJ77" s="97" t="str">
        <f t="shared" ca="1" si="70"/>
        <v/>
      </c>
      <c r="BK77" s="98" t="str">
        <f t="shared" ca="1" si="71"/>
        <v/>
      </c>
    </row>
    <row r="78" spans="2:63" x14ac:dyDescent="0.25">
      <c r="B78" s="51">
        <v>70</v>
      </c>
      <c r="C78" s="52"/>
      <c r="D78" s="53"/>
      <c r="E78" s="37"/>
      <c r="F78" s="191"/>
      <c r="G78" s="132"/>
      <c r="H78" s="56"/>
      <c r="I78" s="54"/>
      <c r="J78" s="123"/>
      <c r="K78" s="55"/>
      <c r="L78" s="112"/>
      <c r="M78" s="127"/>
      <c r="N78" s="196"/>
      <c r="O78" s="132"/>
      <c r="P78" s="108"/>
      <c r="Q78" s="54"/>
      <c r="R78" s="123"/>
      <c r="S78" s="112"/>
      <c r="T78" s="115"/>
      <c r="U78" s="115"/>
      <c r="V78" s="196"/>
      <c r="W78" s="139"/>
      <c r="X78" s="145"/>
      <c r="Y78" s="148"/>
      <c r="Z78" s="166" t="str">
        <f t="shared" si="36"/>
        <v/>
      </c>
      <c r="AA78" s="167" t="str">
        <f t="shared" si="37"/>
        <v/>
      </c>
      <c r="AB78" s="168" t="str">
        <f t="shared" si="38"/>
        <v/>
      </c>
      <c r="AC78" s="169" t="str">
        <f t="shared" si="39"/>
        <v/>
      </c>
      <c r="AD78" s="170" t="str">
        <f t="shared" si="40"/>
        <v/>
      </c>
      <c r="AE78" s="169" t="str">
        <f t="shared" si="41"/>
        <v/>
      </c>
      <c r="AF78" s="169" t="str">
        <f t="shared" si="42"/>
        <v/>
      </c>
      <c r="AG78" s="171" t="str">
        <f t="shared" si="43"/>
        <v/>
      </c>
      <c r="AH78" s="168" t="str">
        <f t="shared" si="44"/>
        <v/>
      </c>
      <c r="AI78" s="169" t="str">
        <f t="shared" si="45"/>
        <v/>
      </c>
      <c r="AJ78" s="170" t="str">
        <f t="shared" si="46"/>
        <v/>
      </c>
      <c r="AK78" s="169" t="str">
        <f t="shared" si="47"/>
        <v/>
      </c>
      <c r="AL78" s="169" t="str">
        <f t="shared" si="48"/>
        <v/>
      </c>
      <c r="AM78" s="169" t="str">
        <f t="shared" si="49"/>
        <v/>
      </c>
      <c r="AN78" s="170" t="str">
        <f t="shared" ca="1" si="50"/>
        <v/>
      </c>
      <c r="AO78" s="169" t="str">
        <f t="shared" si="51"/>
        <v/>
      </c>
      <c r="AP78" s="170" t="str">
        <f t="shared" si="52"/>
        <v/>
      </c>
      <c r="AQ78" s="169" t="str">
        <f t="shared" ca="1" si="53"/>
        <v/>
      </c>
      <c r="AR78" s="172" t="str">
        <f t="shared" si="54"/>
        <v/>
      </c>
      <c r="AS78" s="238" t="str">
        <f t="shared" si="55"/>
        <v/>
      </c>
      <c r="AT78" s="239" t="str">
        <f t="shared" ca="1" si="56"/>
        <v/>
      </c>
      <c r="AU78" s="172" t="str">
        <f t="shared" si="57"/>
        <v/>
      </c>
      <c r="AV78" s="232" t="str">
        <f t="shared" si="58"/>
        <v/>
      </c>
      <c r="AW78" s="72" t="str">
        <f t="shared" si="59"/>
        <v/>
      </c>
      <c r="AX78" s="73" t="str">
        <f t="shared" si="60"/>
        <v/>
      </c>
      <c r="AY78" s="73" t="str">
        <f t="shared" si="61"/>
        <v/>
      </c>
      <c r="AZ78" s="74" t="str">
        <f t="shared" ca="1" si="62"/>
        <v/>
      </c>
      <c r="BA78" s="75" t="str">
        <f t="shared" si="63"/>
        <v/>
      </c>
      <c r="BC78" s="89">
        <f t="shared" ca="1" si="64"/>
        <v>0</v>
      </c>
      <c r="BD78" s="90">
        <v>70</v>
      </c>
      <c r="BE78" s="27" t="str">
        <f t="shared" si="65"/>
        <v/>
      </c>
      <c r="BF78" s="28" t="str">
        <f t="shared" ca="1" si="66"/>
        <v/>
      </c>
      <c r="BG78" s="27" t="str">
        <f t="shared" si="67"/>
        <v/>
      </c>
      <c r="BH78" s="29" t="str">
        <f t="shared" si="68"/>
        <v/>
      </c>
      <c r="BI78" s="27" t="str">
        <f t="shared" ca="1" si="69"/>
        <v/>
      </c>
      <c r="BJ78" s="99" t="str">
        <f t="shared" ca="1" si="70"/>
        <v/>
      </c>
      <c r="BK78" s="100" t="str">
        <f t="shared" ca="1" si="71"/>
        <v/>
      </c>
    </row>
    <row r="79" spans="2:63" x14ac:dyDescent="0.25">
      <c r="B79" s="51">
        <v>71</v>
      </c>
      <c r="C79" s="52"/>
      <c r="D79" s="53"/>
      <c r="E79" s="37"/>
      <c r="F79" s="191"/>
      <c r="G79" s="132"/>
      <c r="H79" s="56"/>
      <c r="I79" s="54"/>
      <c r="J79" s="123"/>
      <c r="K79" s="55"/>
      <c r="L79" s="112"/>
      <c r="M79" s="127"/>
      <c r="N79" s="196"/>
      <c r="O79" s="132"/>
      <c r="P79" s="108"/>
      <c r="Q79" s="54"/>
      <c r="R79" s="123"/>
      <c r="S79" s="112"/>
      <c r="T79" s="115"/>
      <c r="U79" s="115"/>
      <c r="V79" s="196"/>
      <c r="W79" s="139"/>
      <c r="X79" s="145"/>
      <c r="Y79" s="148"/>
      <c r="Z79" s="166" t="str">
        <f t="shared" si="36"/>
        <v/>
      </c>
      <c r="AA79" s="167" t="str">
        <f t="shared" si="37"/>
        <v/>
      </c>
      <c r="AB79" s="168" t="str">
        <f t="shared" si="38"/>
        <v/>
      </c>
      <c r="AC79" s="169" t="str">
        <f t="shared" si="39"/>
        <v/>
      </c>
      <c r="AD79" s="170" t="str">
        <f t="shared" si="40"/>
        <v/>
      </c>
      <c r="AE79" s="169" t="str">
        <f t="shared" si="41"/>
        <v/>
      </c>
      <c r="AF79" s="169" t="str">
        <f t="shared" si="42"/>
        <v/>
      </c>
      <c r="AG79" s="171" t="str">
        <f t="shared" si="43"/>
        <v/>
      </c>
      <c r="AH79" s="168" t="str">
        <f t="shared" si="44"/>
        <v/>
      </c>
      <c r="AI79" s="169" t="str">
        <f t="shared" si="45"/>
        <v/>
      </c>
      <c r="AJ79" s="170" t="str">
        <f t="shared" si="46"/>
        <v/>
      </c>
      <c r="AK79" s="169" t="str">
        <f t="shared" si="47"/>
        <v/>
      </c>
      <c r="AL79" s="169" t="str">
        <f t="shared" si="48"/>
        <v/>
      </c>
      <c r="AM79" s="169" t="str">
        <f t="shared" si="49"/>
        <v/>
      </c>
      <c r="AN79" s="170" t="str">
        <f t="shared" ca="1" si="50"/>
        <v/>
      </c>
      <c r="AO79" s="169" t="str">
        <f t="shared" si="51"/>
        <v/>
      </c>
      <c r="AP79" s="170" t="str">
        <f t="shared" si="52"/>
        <v/>
      </c>
      <c r="AQ79" s="169" t="str">
        <f t="shared" ca="1" si="53"/>
        <v/>
      </c>
      <c r="AR79" s="172" t="str">
        <f t="shared" si="54"/>
        <v/>
      </c>
      <c r="AS79" s="238" t="str">
        <f t="shared" si="55"/>
        <v/>
      </c>
      <c r="AT79" s="239" t="str">
        <f t="shared" ca="1" si="56"/>
        <v/>
      </c>
      <c r="AU79" s="172" t="str">
        <f t="shared" si="57"/>
        <v/>
      </c>
      <c r="AV79" s="232" t="str">
        <f t="shared" si="58"/>
        <v/>
      </c>
      <c r="AW79" s="72" t="str">
        <f t="shared" si="59"/>
        <v/>
      </c>
      <c r="AX79" s="73" t="str">
        <f t="shared" si="60"/>
        <v/>
      </c>
      <c r="AY79" s="73" t="str">
        <f t="shared" si="61"/>
        <v/>
      </c>
      <c r="AZ79" s="74" t="str">
        <f t="shared" ca="1" si="62"/>
        <v/>
      </c>
      <c r="BA79" s="75" t="str">
        <f t="shared" si="63"/>
        <v/>
      </c>
      <c r="BC79" s="89">
        <f t="shared" ca="1" si="64"/>
        <v>0</v>
      </c>
      <c r="BD79" s="90">
        <v>71</v>
      </c>
      <c r="BE79" s="27" t="str">
        <f t="shared" si="65"/>
        <v/>
      </c>
      <c r="BF79" s="28" t="str">
        <f t="shared" ca="1" si="66"/>
        <v/>
      </c>
      <c r="BG79" s="27" t="str">
        <f t="shared" si="67"/>
        <v/>
      </c>
      <c r="BH79" s="29" t="str">
        <f t="shared" si="68"/>
        <v/>
      </c>
      <c r="BI79" s="27" t="str">
        <f t="shared" ca="1" si="69"/>
        <v/>
      </c>
      <c r="BJ79" s="99" t="str">
        <f t="shared" ca="1" si="70"/>
        <v/>
      </c>
      <c r="BK79" s="100" t="str">
        <f t="shared" ca="1" si="71"/>
        <v/>
      </c>
    </row>
    <row r="80" spans="2:63" x14ac:dyDescent="0.25">
      <c r="B80" s="51">
        <v>72</v>
      </c>
      <c r="C80" s="52"/>
      <c r="D80" s="53"/>
      <c r="E80" s="37"/>
      <c r="F80" s="191"/>
      <c r="G80" s="132"/>
      <c r="H80" s="56"/>
      <c r="I80" s="54"/>
      <c r="J80" s="123"/>
      <c r="K80" s="55"/>
      <c r="L80" s="112"/>
      <c r="M80" s="127"/>
      <c r="N80" s="196"/>
      <c r="O80" s="132"/>
      <c r="P80" s="108"/>
      <c r="Q80" s="54"/>
      <c r="R80" s="123"/>
      <c r="S80" s="112"/>
      <c r="T80" s="115"/>
      <c r="U80" s="115"/>
      <c r="V80" s="196"/>
      <c r="W80" s="139"/>
      <c r="X80" s="145"/>
      <c r="Y80" s="148"/>
      <c r="Z80" s="166" t="str">
        <f t="shared" si="36"/>
        <v/>
      </c>
      <c r="AA80" s="167" t="str">
        <f t="shared" si="37"/>
        <v/>
      </c>
      <c r="AB80" s="168" t="str">
        <f t="shared" si="38"/>
        <v/>
      </c>
      <c r="AC80" s="169" t="str">
        <f t="shared" si="39"/>
        <v/>
      </c>
      <c r="AD80" s="170" t="str">
        <f t="shared" si="40"/>
        <v/>
      </c>
      <c r="AE80" s="169" t="str">
        <f t="shared" si="41"/>
        <v/>
      </c>
      <c r="AF80" s="169" t="str">
        <f t="shared" si="42"/>
        <v/>
      </c>
      <c r="AG80" s="171" t="str">
        <f t="shared" si="43"/>
        <v/>
      </c>
      <c r="AH80" s="168" t="str">
        <f t="shared" si="44"/>
        <v/>
      </c>
      <c r="AI80" s="169" t="str">
        <f t="shared" si="45"/>
        <v/>
      </c>
      <c r="AJ80" s="170" t="str">
        <f t="shared" si="46"/>
        <v/>
      </c>
      <c r="AK80" s="169" t="str">
        <f t="shared" si="47"/>
        <v/>
      </c>
      <c r="AL80" s="169" t="str">
        <f t="shared" si="48"/>
        <v/>
      </c>
      <c r="AM80" s="169" t="str">
        <f t="shared" si="49"/>
        <v/>
      </c>
      <c r="AN80" s="170" t="str">
        <f t="shared" ca="1" si="50"/>
        <v/>
      </c>
      <c r="AO80" s="169" t="str">
        <f t="shared" si="51"/>
        <v/>
      </c>
      <c r="AP80" s="170" t="str">
        <f t="shared" si="52"/>
        <v/>
      </c>
      <c r="AQ80" s="169" t="str">
        <f t="shared" ca="1" si="53"/>
        <v/>
      </c>
      <c r="AR80" s="172" t="str">
        <f t="shared" si="54"/>
        <v/>
      </c>
      <c r="AS80" s="238" t="str">
        <f t="shared" si="55"/>
        <v/>
      </c>
      <c r="AT80" s="239" t="str">
        <f t="shared" ca="1" si="56"/>
        <v/>
      </c>
      <c r="AU80" s="172" t="str">
        <f t="shared" si="57"/>
        <v/>
      </c>
      <c r="AV80" s="232" t="str">
        <f t="shared" si="58"/>
        <v/>
      </c>
      <c r="AW80" s="72" t="str">
        <f t="shared" si="59"/>
        <v/>
      </c>
      <c r="AX80" s="73" t="str">
        <f t="shared" si="60"/>
        <v/>
      </c>
      <c r="AY80" s="73" t="str">
        <f t="shared" si="61"/>
        <v/>
      </c>
      <c r="AZ80" s="74" t="str">
        <f t="shared" ca="1" si="62"/>
        <v/>
      </c>
      <c r="BA80" s="75" t="str">
        <f t="shared" si="63"/>
        <v/>
      </c>
      <c r="BC80" s="89">
        <f t="shared" ca="1" si="64"/>
        <v>0</v>
      </c>
      <c r="BD80" s="90">
        <v>72</v>
      </c>
      <c r="BE80" s="27" t="str">
        <f t="shared" si="65"/>
        <v/>
      </c>
      <c r="BF80" s="28" t="str">
        <f t="shared" ca="1" si="66"/>
        <v/>
      </c>
      <c r="BG80" s="27" t="str">
        <f t="shared" si="67"/>
        <v/>
      </c>
      <c r="BH80" s="29" t="str">
        <f t="shared" si="68"/>
        <v/>
      </c>
      <c r="BI80" s="27" t="str">
        <f t="shared" ca="1" si="69"/>
        <v/>
      </c>
      <c r="BJ80" s="99" t="str">
        <f t="shared" ca="1" si="70"/>
        <v/>
      </c>
      <c r="BK80" s="100" t="str">
        <f t="shared" ca="1" si="71"/>
        <v/>
      </c>
    </row>
    <row r="81" spans="2:63" x14ac:dyDescent="0.25">
      <c r="B81" s="46">
        <v>73</v>
      </c>
      <c r="C81" s="50"/>
      <c r="D81" s="47"/>
      <c r="E81" s="38"/>
      <c r="F81" s="190"/>
      <c r="G81" s="131"/>
      <c r="H81" s="49"/>
      <c r="I81" s="45"/>
      <c r="J81" s="122"/>
      <c r="K81" s="48"/>
      <c r="L81" s="111"/>
      <c r="M81" s="126"/>
      <c r="N81" s="195"/>
      <c r="O81" s="131"/>
      <c r="P81" s="107"/>
      <c r="Q81" s="45"/>
      <c r="R81" s="122"/>
      <c r="S81" s="111"/>
      <c r="T81" s="114"/>
      <c r="U81" s="114"/>
      <c r="V81" s="195"/>
      <c r="W81" s="138"/>
      <c r="X81" s="144"/>
      <c r="Y81" s="147"/>
      <c r="Z81" s="161" t="str">
        <f t="shared" si="36"/>
        <v/>
      </c>
      <c r="AA81" s="162" t="str">
        <f t="shared" si="37"/>
        <v/>
      </c>
      <c r="AB81" s="163" t="str">
        <f t="shared" si="38"/>
        <v/>
      </c>
      <c r="AC81" s="158" t="str">
        <f t="shared" si="39"/>
        <v/>
      </c>
      <c r="AD81" s="159" t="str">
        <f t="shared" si="40"/>
        <v/>
      </c>
      <c r="AE81" s="158" t="str">
        <f t="shared" si="41"/>
        <v/>
      </c>
      <c r="AF81" s="158" t="str">
        <f t="shared" si="42"/>
        <v/>
      </c>
      <c r="AG81" s="164" t="str">
        <f t="shared" si="43"/>
        <v/>
      </c>
      <c r="AH81" s="163" t="str">
        <f t="shared" si="44"/>
        <v/>
      </c>
      <c r="AI81" s="158" t="str">
        <f t="shared" si="45"/>
        <v/>
      </c>
      <c r="AJ81" s="159" t="str">
        <f t="shared" si="46"/>
        <v/>
      </c>
      <c r="AK81" s="158" t="str">
        <f t="shared" si="47"/>
        <v/>
      </c>
      <c r="AL81" s="158" t="str">
        <f t="shared" si="48"/>
        <v/>
      </c>
      <c r="AM81" s="158" t="str">
        <f t="shared" si="49"/>
        <v/>
      </c>
      <c r="AN81" s="159" t="str">
        <f t="shared" ca="1" si="50"/>
        <v/>
      </c>
      <c r="AO81" s="158" t="str">
        <f t="shared" si="51"/>
        <v/>
      </c>
      <c r="AP81" s="159" t="str">
        <f t="shared" si="52"/>
        <v/>
      </c>
      <c r="AQ81" s="158" t="str">
        <f t="shared" ca="1" si="53"/>
        <v/>
      </c>
      <c r="AR81" s="165" t="str">
        <f t="shared" si="54"/>
        <v/>
      </c>
      <c r="AS81" s="236" t="str">
        <f t="shared" si="55"/>
        <v/>
      </c>
      <c r="AT81" s="237" t="str">
        <f t="shared" ca="1" si="56"/>
        <v/>
      </c>
      <c r="AU81" s="165" t="str">
        <f t="shared" si="57"/>
        <v/>
      </c>
      <c r="AV81" s="231" t="str">
        <f t="shared" si="58"/>
        <v/>
      </c>
      <c r="AW81" s="68" t="str">
        <f t="shared" si="59"/>
        <v/>
      </c>
      <c r="AX81" s="69" t="str">
        <f t="shared" si="60"/>
        <v/>
      </c>
      <c r="AY81" s="69" t="str">
        <f t="shared" si="61"/>
        <v/>
      </c>
      <c r="AZ81" s="70" t="str">
        <f t="shared" ca="1" si="62"/>
        <v/>
      </c>
      <c r="BA81" s="71" t="str">
        <f t="shared" si="63"/>
        <v/>
      </c>
      <c r="BC81" s="87">
        <f t="shared" ca="1" si="64"/>
        <v>0</v>
      </c>
      <c r="BD81" s="88">
        <v>73</v>
      </c>
      <c r="BE81" s="31" t="str">
        <f t="shared" si="65"/>
        <v/>
      </c>
      <c r="BF81" s="32" t="str">
        <f t="shared" ca="1" si="66"/>
        <v/>
      </c>
      <c r="BG81" s="31" t="str">
        <f t="shared" si="67"/>
        <v/>
      </c>
      <c r="BH81" s="33" t="str">
        <f t="shared" si="68"/>
        <v/>
      </c>
      <c r="BI81" s="31" t="str">
        <f t="shared" ca="1" si="69"/>
        <v/>
      </c>
      <c r="BJ81" s="97" t="str">
        <f t="shared" ca="1" si="70"/>
        <v/>
      </c>
      <c r="BK81" s="98" t="str">
        <f t="shared" ca="1" si="71"/>
        <v/>
      </c>
    </row>
    <row r="82" spans="2:63" x14ac:dyDescent="0.25">
      <c r="B82" s="46">
        <v>74</v>
      </c>
      <c r="C82" s="50"/>
      <c r="D82" s="47"/>
      <c r="E82" s="38"/>
      <c r="F82" s="190"/>
      <c r="G82" s="131"/>
      <c r="H82" s="49"/>
      <c r="I82" s="45"/>
      <c r="J82" s="122"/>
      <c r="K82" s="48"/>
      <c r="L82" s="111"/>
      <c r="M82" s="126"/>
      <c r="N82" s="195"/>
      <c r="O82" s="131"/>
      <c r="P82" s="107"/>
      <c r="Q82" s="45"/>
      <c r="R82" s="122"/>
      <c r="S82" s="111"/>
      <c r="T82" s="114"/>
      <c r="U82" s="114"/>
      <c r="V82" s="195"/>
      <c r="W82" s="138"/>
      <c r="X82" s="144"/>
      <c r="Y82" s="147"/>
      <c r="Z82" s="161" t="str">
        <f t="shared" si="36"/>
        <v/>
      </c>
      <c r="AA82" s="162" t="str">
        <f t="shared" si="37"/>
        <v/>
      </c>
      <c r="AB82" s="163" t="str">
        <f t="shared" si="38"/>
        <v/>
      </c>
      <c r="AC82" s="158" t="str">
        <f t="shared" si="39"/>
        <v/>
      </c>
      <c r="AD82" s="159" t="str">
        <f t="shared" si="40"/>
        <v/>
      </c>
      <c r="AE82" s="158" t="str">
        <f t="shared" si="41"/>
        <v/>
      </c>
      <c r="AF82" s="158" t="str">
        <f t="shared" si="42"/>
        <v/>
      </c>
      <c r="AG82" s="164" t="str">
        <f t="shared" si="43"/>
        <v/>
      </c>
      <c r="AH82" s="163" t="str">
        <f t="shared" si="44"/>
        <v/>
      </c>
      <c r="AI82" s="158" t="str">
        <f t="shared" si="45"/>
        <v/>
      </c>
      <c r="AJ82" s="159" t="str">
        <f t="shared" si="46"/>
        <v/>
      </c>
      <c r="AK82" s="158" t="str">
        <f t="shared" si="47"/>
        <v/>
      </c>
      <c r="AL82" s="158" t="str">
        <f t="shared" si="48"/>
        <v/>
      </c>
      <c r="AM82" s="158" t="str">
        <f t="shared" si="49"/>
        <v/>
      </c>
      <c r="AN82" s="159" t="str">
        <f t="shared" ca="1" si="50"/>
        <v/>
      </c>
      <c r="AO82" s="158" t="str">
        <f t="shared" si="51"/>
        <v/>
      </c>
      <c r="AP82" s="159" t="str">
        <f t="shared" si="52"/>
        <v/>
      </c>
      <c r="AQ82" s="158" t="str">
        <f t="shared" ca="1" si="53"/>
        <v/>
      </c>
      <c r="AR82" s="165" t="str">
        <f t="shared" si="54"/>
        <v/>
      </c>
      <c r="AS82" s="236" t="str">
        <f t="shared" si="55"/>
        <v/>
      </c>
      <c r="AT82" s="237" t="str">
        <f t="shared" ca="1" si="56"/>
        <v/>
      </c>
      <c r="AU82" s="165" t="str">
        <f t="shared" si="57"/>
        <v/>
      </c>
      <c r="AV82" s="231" t="str">
        <f t="shared" si="58"/>
        <v/>
      </c>
      <c r="AW82" s="68" t="str">
        <f t="shared" si="59"/>
        <v/>
      </c>
      <c r="AX82" s="69" t="str">
        <f t="shared" si="60"/>
        <v/>
      </c>
      <c r="AY82" s="69" t="str">
        <f t="shared" si="61"/>
        <v/>
      </c>
      <c r="AZ82" s="70" t="str">
        <f t="shared" ca="1" si="62"/>
        <v/>
      </c>
      <c r="BA82" s="71" t="str">
        <f t="shared" si="63"/>
        <v/>
      </c>
      <c r="BC82" s="87">
        <f t="shared" ca="1" si="64"/>
        <v>0</v>
      </c>
      <c r="BD82" s="88">
        <v>74</v>
      </c>
      <c r="BE82" s="31" t="str">
        <f t="shared" si="65"/>
        <v/>
      </c>
      <c r="BF82" s="32" t="str">
        <f t="shared" ca="1" si="66"/>
        <v/>
      </c>
      <c r="BG82" s="31" t="str">
        <f t="shared" si="67"/>
        <v/>
      </c>
      <c r="BH82" s="33" t="str">
        <f t="shared" si="68"/>
        <v/>
      </c>
      <c r="BI82" s="31" t="str">
        <f t="shared" ca="1" si="69"/>
        <v/>
      </c>
      <c r="BJ82" s="97" t="str">
        <f t="shared" ca="1" si="70"/>
        <v/>
      </c>
      <c r="BK82" s="98" t="str">
        <f t="shared" ca="1" si="71"/>
        <v/>
      </c>
    </row>
    <row r="83" spans="2:63" x14ac:dyDescent="0.25">
      <c r="B83" s="46">
        <v>75</v>
      </c>
      <c r="C83" s="50"/>
      <c r="D83" s="47"/>
      <c r="E83" s="38"/>
      <c r="F83" s="190"/>
      <c r="G83" s="131"/>
      <c r="H83" s="49"/>
      <c r="I83" s="45"/>
      <c r="J83" s="122"/>
      <c r="K83" s="48"/>
      <c r="L83" s="111"/>
      <c r="M83" s="126"/>
      <c r="N83" s="195"/>
      <c r="O83" s="131"/>
      <c r="P83" s="107"/>
      <c r="Q83" s="45"/>
      <c r="R83" s="122"/>
      <c r="S83" s="111"/>
      <c r="T83" s="114"/>
      <c r="U83" s="114"/>
      <c r="V83" s="195"/>
      <c r="W83" s="138"/>
      <c r="X83" s="144"/>
      <c r="Y83" s="147"/>
      <c r="Z83" s="161" t="str">
        <f t="shared" si="36"/>
        <v/>
      </c>
      <c r="AA83" s="162" t="str">
        <f t="shared" si="37"/>
        <v/>
      </c>
      <c r="AB83" s="163" t="str">
        <f t="shared" si="38"/>
        <v/>
      </c>
      <c r="AC83" s="158" t="str">
        <f t="shared" si="39"/>
        <v/>
      </c>
      <c r="AD83" s="159" t="str">
        <f t="shared" si="40"/>
        <v/>
      </c>
      <c r="AE83" s="158" t="str">
        <f t="shared" si="41"/>
        <v/>
      </c>
      <c r="AF83" s="158" t="str">
        <f t="shared" si="42"/>
        <v/>
      </c>
      <c r="AG83" s="164" t="str">
        <f t="shared" si="43"/>
        <v/>
      </c>
      <c r="AH83" s="163" t="str">
        <f t="shared" si="44"/>
        <v/>
      </c>
      <c r="AI83" s="158" t="str">
        <f t="shared" si="45"/>
        <v/>
      </c>
      <c r="AJ83" s="159" t="str">
        <f t="shared" si="46"/>
        <v/>
      </c>
      <c r="AK83" s="158" t="str">
        <f t="shared" si="47"/>
        <v/>
      </c>
      <c r="AL83" s="158" t="str">
        <f t="shared" si="48"/>
        <v/>
      </c>
      <c r="AM83" s="158" t="str">
        <f t="shared" si="49"/>
        <v/>
      </c>
      <c r="AN83" s="159" t="str">
        <f t="shared" ca="1" si="50"/>
        <v/>
      </c>
      <c r="AO83" s="158" t="str">
        <f t="shared" si="51"/>
        <v/>
      </c>
      <c r="AP83" s="159" t="str">
        <f t="shared" si="52"/>
        <v/>
      </c>
      <c r="AQ83" s="158" t="str">
        <f t="shared" ca="1" si="53"/>
        <v/>
      </c>
      <c r="AR83" s="165" t="str">
        <f t="shared" si="54"/>
        <v/>
      </c>
      <c r="AS83" s="236" t="str">
        <f t="shared" si="55"/>
        <v/>
      </c>
      <c r="AT83" s="237" t="str">
        <f t="shared" ca="1" si="56"/>
        <v/>
      </c>
      <c r="AU83" s="165" t="str">
        <f t="shared" si="57"/>
        <v/>
      </c>
      <c r="AV83" s="231" t="str">
        <f t="shared" si="58"/>
        <v/>
      </c>
      <c r="AW83" s="68" t="str">
        <f t="shared" si="59"/>
        <v/>
      </c>
      <c r="AX83" s="69" t="str">
        <f t="shared" si="60"/>
        <v/>
      </c>
      <c r="AY83" s="69" t="str">
        <f t="shared" si="61"/>
        <v/>
      </c>
      <c r="AZ83" s="70" t="str">
        <f t="shared" ca="1" si="62"/>
        <v/>
      </c>
      <c r="BA83" s="71" t="str">
        <f t="shared" si="63"/>
        <v/>
      </c>
      <c r="BC83" s="87">
        <f t="shared" ca="1" si="64"/>
        <v>0</v>
      </c>
      <c r="BD83" s="88">
        <v>75</v>
      </c>
      <c r="BE83" s="31" t="str">
        <f t="shared" si="65"/>
        <v/>
      </c>
      <c r="BF83" s="32" t="str">
        <f t="shared" ca="1" si="66"/>
        <v/>
      </c>
      <c r="BG83" s="31" t="str">
        <f t="shared" si="67"/>
        <v/>
      </c>
      <c r="BH83" s="33" t="str">
        <f t="shared" si="68"/>
        <v/>
      </c>
      <c r="BI83" s="31" t="str">
        <f t="shared" ca="1" si="69"/>
        <v/>
      </c>
      <c r="BJ83" s="97" t="str">
        <f t="shared" ca="1" si="70"/>
        <v/>
      </c>
      <c r="BK83" s="98" t="str">
        <f t="shared" ca="1" si="71"/>
        <v/>
      </c>
    </row>
    <row r="84" spans="2:63" x14ac:dyDescent="0.25">
      <c r="B84" s="51">
        <v>76</v>
      </c>
      <c r="C84" s="52"/>
      <c r="D84" s="53"/>
      <c r="E84" s="37"/>
      <c r="F84" s="191"/>
      <c r="G84" s="132"/>
      <c r="H84" s="56"/>
      <c r="I84" s="54"/>
      <c r="J84" s="123"/>
      <c r="K84" s="55"/>
      <c r="L84" s="112"/>
      <c r="M84" s="127"/>
      <c r="N84" s="196"/>
      <c r="O84" s="132"/>
      <c r="P84" s="108"/>
      <c r="Q84" s="54"/>
      <c r="R84" s="123"/>
      <c r="S84" s="112"/>
      <c r="T84" s="115"/>
      <c r="U84" s="115"/>
      <c r="V84" s="196"/>
      <c r="W84" s="139"/>
      <c r="X84" s="145"/>
      <c r="Y84" s="148"/>
      <c r="Z84" s="166" t="str">
        <f t="shared" si="36"/>
        <v/>
      </c>
      <c r="AA84" s="167" t="str">
        <f t="shared" si="37"/>
        <v/>
      </c>
      <c r="AB84" s="168" t="str">
        <f t="shared" si="38"/>
        <v/>
      </c>
      <c r="AC84" s="169" t="str">
        <f t="shared" si="39"/>
        <v/>
      </c>
      <c r="AD84" s="170" t="str">
        <f t="shared" si="40"/>
        <v/>
      </c>
      <c r="AE84" s="169" t="str">
        <f t="shared" si="41"/>
        <v/>
      </c>
      <c r="AF84" s="169" t="str">
        <f t="shared" si="42"/>
        <v/>
      </c>
      <c r="AG84" s="171" t="str">
        <f t="shared" si="43"/>
        <v/>
      </c>
      <c r="AH84" s="168" t="str">
        <f t="shared" si="44"/>
        <v/>
      </c>
      <c r="AI84" s="169" t="str">
        <f t="shared" si="45"/>
        <v/>
      </c>
      <c r="AJ84" s="170" t="str">
        <f t="shared" si="46"/>
        <v/>
      </c>
      <c r="AK84" s="169" t="str">
        <f t="shared" si="47"/>
        <v/>
      </c>
      <c r="AL84" s="169" t="str">
        <f t="shared" si="48"/>
        <v/>
      </c>
      <c r="AM84" s="169" t="str">
        <f t="shared" si="49"/>
        <v/>
      </c>
      <c r="AN84" s="170" t="str">
        <f t="shared" ca="1" si="50"/>
        <v/>
      </c>
      <c r="AO84" s="169" t="str">
        <f t="shared" si="51"/>
        <v/>
      </c>
      <c r="AP84" s="170" t="str">
        <f t="shared" si="52"/>
        <v/>
      </c>
      <c r="AQ84" s="169" t="str">
        <f t="shared" ca="1" si="53"/>
        <v/>
      </c>
      <c r="AR84" s="172" t="str">
        <f t="shared" si="54"/>
        <v/>
      </c>
      <c r="AS84" s="238" t="str">
        <f t="shared" si="55"/>
        <v/>
      </c>
      <c r="AT84" s="239" t="str">
        <f t="shared" ca="1" si="56"/>
        <v/>
      </c>
      <c r="AU84" s="172" t="str">
        <f t="shared" si="57"/>
        <v/>
      </c>
      <c r="AV84" s="232" t="str">
        <f t="shared" si="58"/>
        <v/>
      </c>
      <c r="AW84" s="72" t="str">
        <f t="shared" si="59"/>
        <v/>
      </c>
      <c r="AX84" s="73" t="str">
        <f t="shared" si="60"/>
        <v/>
      </c>
      <c r="AY84" s="73" t="str">
        <f t="shared" si="61"/>
        <v/>
      </c>
      <c r="AZ84" s="74" t="str">
        <f t="shared" ca="1" si="62"/>
        <v/>
      </c>
      <c r="BA84" s="75" t="str">
        <f t="shared" si="63"/>
        <v/>
      </c>
      <c r="BC84" s="89">
        <f t="shared" ca="1" si="64"/>
        <v>0</v>
      </c>
      <c r="BD84" s="90">
        <v>76</v>
      </c>
      <c r="BE84" s="27" t="str">
        <f t="shared" si="65"/>
        <v/>
      </c>
      <c r="BF84" s="28" t="str">
        <f t="shared" ca="1" si="66"/>
        <v/>
      </c>
      <c r="BG84" s="27" t="str">
        <f t="shared" si="67"/>
        <v/>
      </c>
      <c r="BH84" s="29" t="str">
        <f t="shared" si="68"/>
        <v/>
      </c>
      <c r="BI84" s="27" t="str">
        <f t="shared" ca="1" si="69"/>
        <v/>
      </c>
      <c r="BJ84" s="99" t="str">
        <f t="shared" ca="1" si="70"/>
        <v/>
      </c>
      <c r="BK84" s="100" t="str">
        <f t="shared" ca="1" si="71"/>
        <v/>
      </c>
    </row>
    <row r="85" spans="2:63" x14ac:dyDescent="0.25">
      <c r="B85" s="51">
        <v>77</v>
      </c>
      <c r="C85" s="52"/>
      <c r="D85" s="53"/>
      <c r="E85" s="37"/>
      <c r="F85" s="191"/>
      <c r="G85" s="132"/>
      <c r="H85" s="56"/>
      <c r="I85" s="54"/>
      <c r="J85" s="123"/>
      <c r="K85" s="55"/>
      <c r="L85" s="112"/>
      <c r="M85" s="127"/>
      <c r="N85" s="196"/>
      <c r="O85" s="132"/>
      <c r="P85" s="108"/>
      <c r="Q85" s="54"/>
      <c r="R85" s="123"/>
      <c r="S85" s="112"/>
      <c r="T85" s="115"/>
      <c r="U85" s="115"/>
      <c r="V85" s="196"/>
      <c r="W85" s="139"/>
      <c r="X85" s="145"/>
      <c r="Y85" s="148"/>
      <c r="Z85" s="166" t="str">
        <f t="shared" si="36"/>
        <v/>
      </c>
      <c r="AA85" s="167" t="str">
        <f t="shared" si="37"/>
        <v/>
      </c>
      <c r="AB85" s="168" t="str">
        <f t="shared" si="38"/>
        <v/>
      </c>
      <c r="AC85" s="169" t="str">
        <f t="shared" si="39"/>
        <v/>
      </c>
      <c r="AD85" s="170" t="str">
        <f t="shared" si="40"/>
        <v/>
      </c>
      <c r="AE85" s="169" t="str">
        <f t="shared" si="41"/>
        <v/>
      </c>
      <c r="AF85" s="169" t="str">
        <f t="shared" si="42"/>
        <v/>
      </c>
      <c r="AG85" s="171" t="str">
        <f t="shared" si="43"/>
        <v/>
      </c>
      <c r="AH85" s="168" t="str">
        <f t="shared" si="44"/>
        <v/>
      </c>
      <c r="AI85" s="169" t="str">
        <f t="shared" si="45"/>
        <v/>
      </c>
      <c r="AJ85" s="170" t="str">
        <f t="shared" si="46"/>
        <v/>
      </c>
      <c r="AK85" s="169" t="str">
        <f t="shared" si="47"/>
        <v/>
      </c>
      <c r="AL85" s="169" t="str">
        <f t="shared" si="48"/>
        <v/>
      </c>
      <c r="AM85" s="169" t="str">
        <f t="shared" si="49"/>
        <v/>
      </c>
      <c r="AN85" s="170" t="str">
        <f t="shared" ca="1" si="50"/>
        <v/>
      </c>
      <c r="AO85" s="169" t="str">
        <f t="shared" si="51"/>
        <v/>
      </c>
      <c r="AP85" s="170" t="str">
        <f t="shared" si="52"/>
        <v/>
      </c>
      <c r="AQ85" s="169" t="str">
        <f t="shared" ca="1" si="53"/>
        <v/>
      </c>
      <c r="AR85" s="172" t="str">
        <f t="shared" si="54"/>
        <v/>
      </c>
      <c r="AS85" s="238" t="str">
        <f t="shared" si="55"/>
        <v/>
      </c>
      <c r="AT85" s="239" t="str">
        <f t="shared" ca="1" si="56"/>
        <v/>
      </c>
      <c r="AU85" s="172" t="str">
        <f t="shared" si="57"/>
        <v/>
      </c>
      <c r="AV85" s="232" t="str">
        <f t="shared" si="58"/>
        <v/>
      </c>
      <c r="AW85" s="72" t="str">
        <f t="shared" si="59"/>
        <v/>
      </c>
      <c r="AX85" s="73" t="str">
        <f t="shared" si="60"/>
        <v/>
      </c>
      <c r="AY85" s="73" t="str">
        <f t="shared" si="61"/>
        <v/>
      </c>
      <c r="AZ85" s="74" t="str">
        <f t="shared" ca="1" si="62"/>
        <v/>
      </c>
      <c r="BA85" s="75" t="str">
        <f t="shared" si="63"/>
        <v/>
      </c>
      <c r="BC85" s="89">
        <f t="shared" ca="1" si="64"/>
        <v>0</v>
      </c>
      <c r="BD85" s="90">
        <v>77</v>
      </c>
      <c r="BE85" s="27" t="str">
        <f t="shared" si="65"/>
        <v/>
      </c>
      <c r="BF85" s="28" t="str">
        <f t="shared" ca="1" si="66"/>
        <v/>
      </c>
      <c r="BG85" s="27" t="str">
        <f t="shared" si="67"/>
        <v/>
      </c>
      <c r="BH85" s="29" t="str">
        <f t="shared" si="68"/>
        <v/>
      </c>
      <c r="BI85" s="27" t="str">
        <f t="shared" ca="1" si="69"/>
        <v/>
      </c>
      <c r="BJ85" s="99" t="str">
        <f t="shared" ca="1" si="70"/>
        <v/>
      </c>
      <c r="BK85" s="100" t="str">
        <f t="shared" ca="1" si="71"/>
        <v/>
      </c>
    </row>
    <row r="86" spans="2:63" x14ac:dyDescent="0.25">
      <c r="B86" s="51">
        <v>78</v>
      </c>
      <c r="C86" s="52"/>
      <c r="D86" s="53"/>
      <c r="E86" s="37"/>
      <c r="F86" s="191"/>
      <c r="G86" s="132"/>
      <c r="H86" s="56"/>
      <c r="I86" s="54"/>
      <c r="J86" s="123"/>
      <c r="K86" s="55"/>
      <c r="L86" s="112"/>
      <c r="M86" s="127"/>
      <c r="N86" s="196"/>
      <c r="O86" s="132"/>
      <c r="P86" s="108"/>
      <c r="Q86" s="54"/>
      <c r="R86" s="123"/>
      <c r="S86" s="112"/>
      <c r="T86" s="115"/>
      <c r="U86" s="115"/>
      <c r="V86" s="196"/>
      <c r="W86" s="139"/>
      <c r="X86" s="145"/>
      <c r="Y86" s="148"/>
      <c r="Z86" s="166" t="str">
        <f t="shared" si="36"/>
        <v/>
      </c>
      <c r="AA86" s="167" t="str">
        <f t="shared" si="37"/>
        <v/>
      </c>
      <c r="AB86" s="168" t="str">
        <f t="shared" si="38"/>
        <v/>
      </c>
      <c r="AC86" s="169" t="str">
        <f t="shared" si="39"/>
        <v/>
      </c>
      <c r="AD86" s="170" t="str">
        <f t="shared" si="40"/>
        <v/>
      </c>
      <c r="AE86" s="169" t="str">
        <f t="shared" si="41"/>
        <v/>
      </c>
      <c r="AF86" s="169" t="str">
        <f t="shared" si="42"/>
        <v/>
      </c>
      <c r="AG86" s="171" t="str">
        <f t="shared" si="43"/>
        <v/>
      </c>
      <c r="AH86" s="168" t="str">
        <f t="shared" si="44"/>
        <v/>
      </c>
      <c r="AI86" s="169" t="str">
        <f t="shared" si="45"/>
        <v/>
      </c>
      <c r="AJ86" s="170" t="str">
        <f t="shared" si="46"/>
        <v/>
      </c>
      <c r="AK86" s="169" t="str">
        <f t="shared" si="47"/>
        <v/>
      </c>
      <c r="AL86" s="169" t="str">
        <f t="shared" si="48"/>
        <v/>
      </c>
      <c r="AM86" s="169" t="str">
        <f t="shared" si="49"/>
        <v/>
      </c>
      <c r="AN86" s="170" t="str">
        <f t="shared" ca="1" si="50"/>
        <v/>
      </c>
      <c r="AO86" s="169" t="str">
        <f t="shared" si="51"/>
        <v/>
      </c>
      <c r="AP86" s="170" t="str">
        <f t="shared" si="52"/>
        <v/>
      </c>
      <c r="AQ86" s="169" t="str">
        <f t="shared" ca="1" si="53"/>
        <v/>
      </c>
      <c r="AR86" s="172" t="str">
        <f t="shared" si="54"/>
        <v/>
      </c>
      <c r="AS86" s="238" t="str">
        <f t="shared" si="55"/>
        <v/>
      </c>
      <c r="AT86" s="239" t="str">
        <f t="shared" ca="1" si="56"/>
        <v/>
      </c>
      <c r="AU86" s="172" t="str">
        <f t="shared" si="57"/>
        <v/>
      </c>
      <c r="AV86" s="232" t="str">
        <f t="shared" si="58"/>
        <v/>
      </c>
      <c r="AW86" s="72" t="str">
        <f t="shared" si="59"/>
        <v/>
      </c>
      <c r="AX86" s="73" t="str">
        <f t="shared" si="60"/>
        <v/>
      </c>
      <c r="AY86" s="73" t="str">
        <f t="shared" si="61"/>
        <v/>
      </c>
      <c r="AZ86" s="74" t="str">
        <f t="shared" ca="1" si="62"/>
        <v/>
      </c>
      <c r="BA86" s="75" t="str">
        <f t="shared" si="63"/>
        <v/>
      </c>
      <c r="BC86" s="89">
        <f t="shared" ca="1" si="64"/>
        <v>0</v>
      </c>
      <c r="BD86" s="90">
        <v>78</v>
      </c>
      <c r="BE86" s="27" t="str">
        <f t="shared" si="65"/>
        <v/>
      </c>
      <c r="BF86" s="28" t="str">
        <f t="shared" ca="1" si="66"/>
        <v/>
      </c>
      <c r="BG86" s="27" t="str">
        <f t="shared" si="67"/>
        <v/>
      </c>
      <c r="BH86" s="29" t="str">
        <f t="shared" si="68"/>
        <v/>
      </c>
      <c r="BI86" s="27" t="str">
        <f t="shared" ca="1" si="69"/>
        <v/>
      </c>
      <c r="BJ86" s="99" t="str">
        <f t="shared" ca="1" si="70"/>
        <v/>
      </c>
      <c r="BK86" s="100" t="str">
        <f t="shared" ca="1" si="71"/>
        <v/>
      </c>
    </row>
    <row r="87" spans="2:63" x14ac:dyDescent="0.25">
      <c r="B87" s="46">
        <v>79</v>
      </c>
      <c r="C87" s="50"/>
      <c r="D87" s="47"/>
      <c r="E87" s="38"/>
      <c r="F87" s="190"/>
      <c r="G87" s="131"/>
      <c r="H87" s="49"/>
      <c r="I87" s="45"/>
      <c r="J87" s="122"/>
      <c r="K87" s="48"/>
      <c r="L87" s="111"/>
      <c r="M87" s="126"/>
      <c r="N87" s="195"/>
      <c r="O87" s="131"/>
      <c r="P87" s="107"/>
      <c r="Q87" s="45"/>
      <c r="R87" s="122"/>
      <c r="S87" s="111"/>
      <c r="T87" s="114"/>
      <c r="U87" s="114"/>
      <c r="V87" s="195"/>
      <c r="W87" s="138"/>
      <c r="X87" s="144"/>
      <c r="Y87" s="147"/>
      <c r="Z87" s="161" t="str">
        <f t="shared" si="36"/>
        <v/>
      </c>
      <c r="AA87" s="162" t="str">
        <f t="shared" si="37"/>
        <v/>
      </c>
      <c r="AB87" s="163" t="str">
        <f t="shared" si="38"/>
        <v/>
      </c>
      <c r="AC87" s="158" t="str">
        <f t="shared" si="39"/>
        <v/>
      </c>
      <c r="AD87" s="159" t="str">
        <f t="shared" si="40"/>
        <v/>
      </c>
      <c r="AE87" s="158" t="str">
        <f t="shared" si="41"/>
        <v/>
      </c>
      <c r="AF87" s="158" t="str">
        <f t="shared" si="42"/>
        <v/>
      </c>
      <c r="AG87" s="164" t="str">
        <f t="shared" si="43"/>
        <v/>
      </c>
      <c r="AH87" s="163" t="str">
        <f t="shared" si="44"/>
        <v/>
      </c>
      <c r="AI87" s="158" t="str">
        <f t="shared" si="45"/>
        <v/>
      </c>
      <c r="AJ87" s="159" t="str">
        <f t="shared" si="46"/>
        <v/>
      </c>
      <c r="AK87" s="158" t="str">
        <f t="shared" si="47"/>
        <v/>
      </c>
      <c r="AL87" s="158" t="str">
        <f t="shared" si="48"/>
        <v/>
      </c>
      <c r="AM87" s="158" t="str">
        <f t="shared" si="49"/>
        <v/>
      </c>
      <c r="AN87" s="159" t="str">
        <f t="shared" ca="1" si="50"/>
        <v/>
      </c>
      <c r="AO87" s="158" t="str">
        <f t="shared" si="51"/>
        <v/>
      </c>
      <c r="AP87" s="159" t="str">
        <f t="shared" si="52"/>
        <v/>
      </c>
      <c r="AQ87" s="158" t="str">
        <f t="shared" ca="1" si="53"/>
        <v/>
      </c>
      <c r="AR87" s="165" t="str">
        <f t="shared" si="54"/>
        <v/>
      </c>
      <c r="AS87" s="236" t="str">
        <f t="shared" si="55"/>
        <v/>
      </c>
      <c r="AT87" s="237" t="str">
        <f t="shared" ca="1" si="56"/>
        <v/>
      </c>
      <c r="AU87" s="165" t="str">
        <f t="shared" si="57"/>
        <v/>
      </c>
      <c r="AV87" s="231" t="str">
        <f t="shared" si="58"/>
        <v/>
      </c>
      <c r="AW87" s="68" t="str">
        <f t="shared" si="59"/>
        <v/>
      </c>
      <c r="AX87" s="69" t="str">
        <f t="shared" si="60"/>
        <v/>
      </c>
      <c r="AY87" s="69" t="str">
        <f t="shared" si="61"/>
        <v/>
      </c>
      <c r="AZ87" s="70" t="str">
        <f t="shared" ca="1" si="62"/>
        <v/>
      </c>
      <c r="BA87" s="71" t="str">
        <f t="shared" si="63"/>
        <v/>
      </c>
      <c r="BC87" s="87">
        <f t="shared" ca="1" si="64"/>
        <v>0</v>
      </c>
      <c r="BD87" s="88">
        <v>79</v>
      </c>
      <c r="BE87" s="31" t="str">
        <f t="shared" si="65"/>
        <v/>
      </c>
      <c r="BF87" s="32" t="str">
        <f t="shared" ca="1" si="66"/>
        <v/>
      </c>
      <c r="BG87" s="31" t="str">
        <f t="shared" si="67"/>
        <v/>
      </c>
      <c r="BH87" s="33" t="str">
        <f t="shared" si="68"/>
        <v/>
      </c>
      <c r="BI87" s="31" t="str">
        <f t="shared" ca="1" si="69"/>
        <v/>
      </c>
      <c r="BJ87" s="97" t="str">
        <f t="shared" ca="1" si="70"/>
        <v/>
      </c>
      <c r="BK87" s="98" t="str">
        <f t="shared" ca="1" si="71"/>
        <v/>
      </c>
    </row>
    <row r="88" spans="2:63" x14ac:dyDescent="0.25">
      <c r="B88" s="46">
        <v>80</v>
      </c>
      <c r="C88" s="50"/>
      <c r="D88" s="47"/>
      <c r="E88" s="38"/>
      <c r="F88" s="190"/>
      <c r="G88" s="131"/>
      <c r="H88" s="49"/>
      <c r="I88" s="45"/>
      <c r="J88" s="122"/>
      <c r="K88" s="48"/>
      <c r="L88" s="111"/>
      <c r="M88" s="126"/>
      <c r="N88" s="195"/>
      <c r="O88" s="131"/>
      <c r="P88" s="107"/>
      <c r="Q88" s="45"/>
      <c r="R88" s="122"/>
      <c r="S88" s="111"/>
      <c r="T88" s="114"/>
      <c r="U88" s="114"/>
      <c r="V88" s="195"/>
      <c r="W88" s="138"/>
      <c r="X88" s="144"/>
      <c r="Y88" s="147"/>
      <c r="Z88" s="161" t="str">
        <f t="shared" si="36"/>
        <v/>
      </c>
      <c r="AA88" s="162" t="str">
        <f t="shared" si="37"/>
        <v/>
      </c>
      <c r="AB88" s="163" t="str">
        <f t="shared" si="38"/>
        <v/>
      </c>
      <c r="AC88" s="158" t="str">
        <f t="shared" si="39"/>
        <v/>
      </c>
      <c r="AD88" s="159" t="str">
        <f t="shared" si="40"/>
        <v/>
      </c>
      <c r="AE88" s="158" t="str">
        <f t="shared" si="41"/>
        <v/>
      </c>
      <c r="AF88" s="158" t="str">
        <f t="shared" si="42"/>
        <v/>
      </c>
      <c r="AG88" s="164" t="str">
        <f t="shared" si="43"/>
        <v/>
      </c>
      <c r="AH88" s="163" t="str">
        <f t="shared" si="44"/>
        <v/>
      </c>
      <c r="AI88" s="158" t="str">
        <f t="shared" si="45"/>
        <v/>
      </c>
      <c r="AJ88" s="159" t="str">
        <f t="shared" si="46"/>
        <v/>
      </c>
      <c r="AK88" s="158" t="str">
        <f t="shared" si="47"/>
        <v/>
      </c>
      <c r="AL88" s="158" t="str">
        <f t="shared" si="48"/>
        <v/>
      </c>
      <c r="AM88" s="158" t="str">
        <f t="shared" si="49"/>
        <v/>
      </c>
      <c r="AN88" s="159" t="str">
        <f t="shared" ca="1" si="50"/>
        <v/>
      </c>
      <c r="AO88" s="158" t="str">
        <f t="shared" si="51"/>
        <v/>
      </c>
      <c r="AP88" s="159" t="str">
        <f t="shared" si="52"/>
        <v/>
      </c>
      <c r="AQ88" s="158" t="str">
        <f t="shared" ca="1" si="53"/>
        <v/>
      </c>
      <c r="AR88" s="165" t="str">
        <f t="shared" si="54"/>
        <v/>
      </c>
      <c r="AS88" s="236" t="str">
        <f t="shared" si="55"/>
        <v/>
      </c>
      <c r="AT88" s="237" t="str">
        <f t="shared" ca="1" si="56"/>
        <v/>
      </c>
      <c r="AU88" s="165" t="str">
        <f t="shared" si="57"/>
        <v/>
      </c>
      <c r="AV88" s="231" t="str">
        <f t="shared" si="58"/>
        <v/>
      </c>
      <c r="AW88" s="68" t="str">
        <f t="shared" si="59"/>
        <v/>
      </c>
      <c r="AX88" s="69" t="str">
        <f t="shared" si="60"/>
        <v/>
      </c>
      <c r="AY88" s="69" t="str">
        <f t="shared" si="61"/>
        <v/>
      </c>
      <c r="AZ88" s="70" t="str">
        <f t="shared" ca="1" si="62"/>
        <v/>
      </c>
      <c r="BA88" s="71" t="str">
        <f t="shared" si="63"/>
        <v/>
      </c>
      <c r="BC88" s="87">
        <f t="shared" ca="1" si="64"/>
        <v>0</v>
      </c>
      <c r="BD88" s="88">
        <v>80</v>
      </c>
      <c r="BE88" s="31" t="str">
        <f t="shared" si="65"/>
        <v/>
      </c>
      <c r="BF88" s="32" t="str">
        <f t="shared" ca="1" si="66"/>
        <v/>
      </c>
      <c r="BG88" s="31" t="str">
        <f t="shared" si="67"/>
        <v/>
      </c>
      <c r="BH88" s="33" t="str">
        <f t="shared" si="68"/>
        <v/>
      </c>
      <c r="BI88" s="31" t="str">
        <f t="shared" ca="1" si="69"/>
        <v/>
      </c>
      <c r="BJ88" s="97" t="str">
        <f t="shared" ca="1" si="70"/>
        <v/>
      </c>
      <c r="BK88" s="98" t="str">
        <f t="shared" ca="1" si="71"/>
        <v/>
      </c>
    </row>
    <row r="89" spans="2:63" x14ac:dyDescent="0.25">
      <c r="B89" s="46">
        <v>81</v>
      </c>
      <c r="C89" s="50"/>
      <c r="D89" s="47"/>
      <c r="E89" s="38"/>
      <c r="F89" s="190"/>
      <c r="G89" s="131"/>
      <c r="H89" s="49"/>
      <c r="I89" s="45"/>
      <c r="J89" s="122"/>
      <c r="K89" s="48"/>
      <c r="L89" s="111"/>
      <c r="M89" s="126"/>
      <c r="N89" s="195"/>
      <c r="O89" s="131"/>
      <c r="P89" s="107"/>
      <c r="Q89" s="45"/>
      <c r="R89" s="122"/>
      <c r="S89" s="111"/>
      <c r="T89" s="114"/>
      <c r="U89" s="114"/>
      <c r="V89" s="195"/>
      <c r="W89" s="138"/>
      <c r="X89" s="144"/>
      <c r="Y89" s="147"/>
      <c r="Z89" s="161" t="str">
        <f t="shared" si="36"/>
        <v/>
      </c>
      <c r="AA89" s="162" t="str">
        <f t="shared" si="37"/>
        <v/>
      </c>
      <c r="AB89" s="163" t="str">
        <f t="shared" si="38"/>
        <v/>
      </c>
      <c r="AC89" s="158" t="str">
        <f t="shared" si="39"/>
        <v/>
      </c>
      <c r="AD89" s="159" t="str">
        <f t="shared" si="40"/>
        <v/>
      </c>
      <c r="AE89" s="158" t="str">
        <f t="shared" si="41"/>
        <v/>
      </c>
      <c r="AF89" s="158" t="str">
        <f t="shared" si="42"/>
        <v/>
      </c>
      <c r="AG89" s="164" t="str">
        <f t="shared" si="43"/>
        <v/>
      </c>
      <c r="AH89" s="163" t="str">
        <f t="shared" si="44"/>
        <v/>
      </c>
      <c r="AI89" s="158" t="str">
        <f t="shared" si="45"/>
        <v/>
      </c>
      <c r="AJ89" s="159" t="str">
        <f t="shared" si="46"/>
        <v/>
      </c>
      <c r="AK89" s="158" t="str">
        <f t="shared" si="47"/>
        <v/>
      </c>
      <c r="AL89" s="158" t="str">
        <f t="shared" si="48"/>
        <v/>
      </c>
      <c r="AM89" s="158" t="str">
        <f t="shared" si="49"/>
        <v/>
      </c>
      <c r="AN89" s="159" t="str">
        <f t="shared" ca="1" si="50"/>
        <v/>
      </c>
      <c r="AO89" s="158" t="str">
        <f t="shared" si="51"/>
        <v/>
      </c>
      <c r="AP89" s="159" t="str">
        <f t="shared" si="52"/>
        <v/>
      </c>
      <c r="AQ89" s="158" t="str">
        <f t="shared" ca="1" si="53"/>
        <v/>
      </c>
      <c r="AR89" s="165" t="str">
        <f t="shared" si="54"/>
        <v/>
      </c>
      <c r="AS89" s="236" t="str">
        <f t="shared" si="55"/>
        <v/>
      </c>
      <c r="AT89" s="237" t="str">
        <f t="shared" ca="1" si="56"/>
        <v/>
      </c>
      <c r="AU89" s="165" t="str">
        <f t="shared" si="57"/>
        <v/>
      </c>
      <c r="AV89" s="231" t="str">
        <f t="shared" si="58"/>
        <v/>
      </c>
      <c r="AW89" s="68" t="str">
        <f t="shared" si="59"/>
        <v/>
      </c>
      <c r="AX89" s="69" t="str">
        <f t="shared" si="60"/>
        <v/>
      </c>
      <c r="AY89" s="69" t="str">
        <f t="shared" si="61"/>
        <v/>
      </c>
      <c r="AZ89" s="70" t="str">
        <f t="shared" ca="1" si="62"/>
        <v/>
      </c>
      <c r="BA89" s="71" t="str">
        <f t="shared" si="63"/>
        <v/>
      </c>
      <c r="BC89" s="87">
        <f t="shared" ca="1" si="64"/>
        <v>0</v>
      </c>
      <c r="BD89" s="88">
        <v>81</v>
      </c>
      <c r="BE89" s="31" t="str">
        <f t="shared" si="65"/>
        <v/>
      </c>
      <c r="BF89" s="32" t="str">
        <f t="shared" ca="1" si="66"/>
        <v/>
      </c>
      <c r="BG89" s="31" t="str">
        <f t="shared" si="67"/>
        <v/>
      </c>
      <c r="BH89" s="33" t="str">
        <f t="shared" si="68"/>
        <v/>
      </c>
      <c r="BI89" s="31" t="str">
        <f t="shared" ca="1" si="69"/>
        <v/>
      </c>
      <c r="BJ89" s="97" t="str">
        <f t="shared" ca="1" si="70"/>
        <v/>
      </c>
      <c r="BK89" s="98" t="str">
        <f t="shared" ca="1" si="71"/>
        <v/>
      </c>
    </row>
    <row r="90" spans="2:63" x14ac:dyDescent="0.25">
      <c r="B90" s="51">
        <v>82</v>
      </c>
      <c r="C90" s="52"/>
      <c r="D90" s="53"/>
      <c r="E90" s="37"/>
      <c r="F90" s="191"/>
      <c r="G90" s="132"/>
      <c r="H90" s="56"/>
      <c r="I90" s="54"/>
      <c r="J90" s="123"/>
      <c r="K90" s="55"/>
      <c r="L90" s="112"/>
      <c r="M90" s="127"/>
      <c r="N90" s="196"/>
      <c r="O90" s="132"/>
      <c r="P90" s="108"/>
      <c r="Q90" s="54"/>
      <c r="R90" s="123"/>
      <c r="S90" s="112"/>
      <c r="T90" s="115"/>
      <c r="U90" s="115"/>
      <c r="V90" s="196"/>
      <c r="W90" s="139"/>
      <c r="X90" s="145"/>
      <c r="Y90" s="148"/>
      <c r="Z90" s="166" t="str">
        <f t="shared" si="36"/>
        <v/>
      </c>
      <c r="AA90" s="167" t="str">
        <f t="shared" si="37"/>
        <v/>
      </c>
      <c r="AB90" s="168" t="str">
        <f t="shared" si="38"/>
        <v/>
      </c>
      <c r="AC90" s="169" t="str">
        <f t="shared" si="39"/>
        <v/>
      </c>
      <c r="AD90" s="170" t="str">
        <f t="shared" si="40"/>
        <v/>
      </c>
      <c r="AE90" s="169" t="str">
        <f t="shared" si="41"/>
        <v/>
      </c>
      <c r="AF90" s="169" t="str">
        <f t="shared" si="42"/>
        <v/>
      </c>
      <c r="AG90" s="171" t="str">
        <f t="shared" si="43"/>
        <v/>
      </c>
      <c r="AH90" s="168" t="str">
        <f t="shared" si="44"/>
        <v/>
      </c>
      <c r="AI90" s="169" t="str">
        <f t="shared" si="45"/>
        <v/>
      </c>
      <c r="AJ90" s="170" t="str">
        <f t="shared" si="46"/>
        <v/>
      </c>
      <c r="AK90" s="169" t="str">
        <f t="shared" si="47"/>
        <v/>
      </c>
      <c r="AL90" s="169" t="str">
        <f t="shared" si="48"/>
        <v/>
      </c>
      <c r="AM90" s="169" t="str">
        <f t="shared" si="49"/>
        <v/>
      </c>
      <c r="AN90" s="170" t="str">
        <f t="shared" ca="1" si="50"/>
        <v/>
      </c>
      <c r="AO90" s="169" t="str">
        <f t="shared" si="51"/>
        <v/>
      </c>
      <c r="AP90" s="170" t="str">
        <f t="shared" si="52"/>
        <v/>
      </c>
      <c r="AQ90" s="169" t="str">
        <f t="shared" ca="1" si="53"/>
        <v/>
      </c>
      <c r="AR90" s="172" t="str">
        <f t="shared" si="54"/>
        <v/>
      </c>
      <c r="AS90" s="238" t="str">
        <f t="shared" si="55"/>
        <v/>
      </c>
      <c r="AT90" s="239" t="str">
        <f t="shared" ca="1" si="56"/>
        <v/>
      </c>
      <c r="AU90" s="172" t="str">
        <f t="shared" si="57"/>
        <v/>
      </c>
      <c r="AV90" s="232" t="str">
        <f t="shared" si="58"/>
        <v/>
      </c>
      <c r="AW90" s="72" t="str">
        <f t="shared" si="59"/>
        <v/>
      </c>
      <c r="AX90" s="73" t="str">
        <f t="shared" si="60"/>
        <v/>
      </c>
      <c r="AY90" s="73" t="str">
        <f t="shared" si="61"/>
        <v/>
      </c>
      <c r="AZ90" s="74" t="str">
        <f t="shared" ca="1" si="62"/>
        <v/>
      </c>
      <c r="BA90" s="75" t="str">
        <f t="shared" si="63"/>
        <v/>
      </c>
      <c r="BC90" s="89">
        <f t="shared" ca="1" si="64"/>
        <v>0</v>
      </c>
      <c r="BD90" s="90">
        <v>82</v>
      </c>
      <c r="BE90" s="27" t="str">
        <f t="shared" si="65"/>
        <v/>
      </c>
      <c r="BF90" s="28" t="str">
        <f t="shared" ca="1" si="66"/>
        <v/>
      </c>
      <c r="BG90" s="27" t="str">
        <f t="shared" si="67"/>
        <v/>
      </c>
      <c r="BH90" s="29" t="str">
        <f t="shared" si="68"/>
        <v/>
      </c>
      <c r="BI90" s="27" t="str">
        <f t="shared" ca="1" si="69"/>
        <v/>
      </c>
      <c r="BJ90" s="99" t="str">
        <f t="shared" ca="1" si="70"/>
        <v/>
      </c>
      <c r="BK90" s="100" t="str">
        <f t="shared" ca="1" si="71"/>
        <v/>
      </c>
    </row>
    <row r="91" spans="2:63" x14ac:dyDescent="0.25">
      <c r="B91" s="51">
        <v>83</v>
      </c>
      <c r="C91" s="52"/>
      <c r="D91" s="53"/>
      <c r="E91" s="37"/>
      <c r="F91" s="191"/>
      <c r="G91" s="132"/>
      <c r="H91" s="56"/>
      <c r="I91" s="54"/>
      <c r="J91" s="123"/>
      <c r="K91" s="55"/>
      <c r="L91" s="112"/>
      <c r="M91" s="127"/>
      <c r="N91" s="196"/>
      <c r="O91" s="132"/>
      <c r="P91" s="108"/>
      <c r="Q91" s="54"/>
      <c r="R91" s="123"/>
      <c r="S91" s="112"/>
      <c r="T91" s="115"/>
      <c r="U91" s="115"/>
      <c r="V91" s="196"/>
      <c r="W91" s="139"/>
      <c r="X91" s="145"/>
      <c r="Y91" s="148"/>
      <c r="Z91" s="166" t="str">
        <f t="shared" si="36"/>
        <v/>
      </c>
      <c r="AA91" s="167" t="str">
        <f t="shared" si="37"/>
        <v/>
      </c>
      <c r="AB91" s="168" t="str">
        <f t="shared" si="38"/>
        <v/>
      </c>
      <c r="AC91" s="169" t="str">
        <f t="shared" si="39"/>
        <v/>
      </c>
      <c r="AD91" s="170" t="str">
        <f t="shared" si="40"/>
        <v/>
      </c>
      <c r="AE91" s="169" t="str">
        <f t="shared" si="41"/>
        <v/>
      </c>
      <c r="AF91" s="169" t="str">
        <f t="shared" si="42"/>
        <v/>
      </c>
      <c r="AG91" s="171" t="str">
        <f t="shared" si="43"/>
        <v/>
      </c>
      <c r="AH91" s="168" t="str">
        <f t="shared" si="44"/>
        <v/>
      </c>
      <c r="AI91" s="169" t="str">
        <f t="shared" si="45"/>
        <v/>
      </c>
      <c r="AJ91" s="170" t="str">
        <f t="shared" si="46"/>
        <v/>
      </c>
      <c r="AK91" s="169" t="str">
        <f t="shared" si="47"/>
        <v/>
      </c>
      <c r="AL91" s="169" t="str">
        <f t="shared" si="48"/>
        <v/>
      </c>
      <c r="AM91" s="169" t="str">
        <f t="shared" si="49"/>
        <v/>
      </c>
      <c r="AN91" s="170" t="str">
        <f t="shared" ca="1" si="50"/>
        <v/>
      </c>
      <c r="AO91" s="169" t="str">
        <f t="shared" si="51"/>
        <v/>
      </c>
      <c r="AP91" s="170" t="str">
        <f t="shared" si="52"/>
        <v/>
      </c>
      <c r="AQ91" s="169" t="str">
        <f t="shared" ca="1" si="53"/>
        <v/>
      </c>
      <c r="AR91" s="172" t="str">
        <f t="shared" si="54"/>
        <v/>
      </c>
      <c r="AS91" s="238" t="str">
        <f t="shared" si="55"/>
        <v/>
      </c>
      <c r="AT91" s="239" t="str">
        <f t="shared" ca="1" si="56"/>
        <v/>
      </c>
      <c r="AU91" s="172" t="str">
        <f t="shared" si="57"/>
        <v/>
      </c>
      <c r="AV91" s="232" t="str">
        <f t="shared" si="58"/>
        <v/>
      </c>
      <c r="AW91" s="72" t="str">
        <f t="shared" si="59"/>
        <v/>
      </c>
      <c r="AX91" s="73" t="str">
        <f t="shared" si="60"/>
        <v/>
      </c>
      <c r="AY91" s="73" t="str">
        <f t="shared" si="61"/>
        <v/>
      </c>
      <c r="AZ91" s="74" t="str">
        <f t="shared" ca="1" si="62"/>
        <v/>
      </c>
      <c r="BA91" s="75" t="str">
        <f t="shared" si="63"/>
        <v/>
      </c>
      <c r="BC91" s="89">
        <f t="shared" ca="1" si="64"/>
        <v>0</v>
      </c>
      <c r="BD91" s="90">
        <v>83</v>
      </c>
      <c r="BE91" s="27" t="str">
        <f t="shared" si="65"/>
        <v/>
      </c>
      <c r="BF91" s="28" t="str">
        <f t="shared" ca="1" si="66"/>
        <v/>
      </c>
      <c r="BG91" s="27" t="str">
        <f t="shared" si="67"/>
        <v/>
      </c>
      <c r="BH91" s="29" t="str">
        <f t="shared" si="68"/>
        <v/>
      </c>
      <c r="BI91" s="27" t="str">
        <f t="shared" ca="1" si="69"/>
        <v/>
      </c>
      <c r="BJ91" s="99" t="str">
        <f t="shared" ca="1" si="70"/>
        <v/>
      </c>
      <c r="BK91" s="100" t="str">
        <f t="shared" ca="1" si="71"/>
        <v/>
      </c>
    </row>
    <row r="92" spans="2:63" x14ac:dyDescent="0.25">
      <c r="B92" s="51">
        <v>84</v>
      </c>
      <c r="C92" s="52"/>
      <c r="D92" s="53"/>
      <c r="E92" s="37"/>
      <c r="F92" s="191"/>
      <c r="G92" s="132"/>
      <c r="H92" s="56"/>
      <c r="I92" s="54"/>
      <c r="J92" s="123"/>
      <c r="K92" s="55"/>
      <c r="L92" s="112"/>
      <c r="M92" s="127"/>
      <c r="N92" s="196"/>
      <c r="O92" s="132"/>
      <c r="P92" s="108"/>
      <c r="Q92" s="54"/>
      <c r="R92" s="123"/>
      <c r="S92" s="112"/>
      <c r="T92" s="115"/>
      <c r="U92" s="115"/>
      <c r="V92" s="196"/>
      <c r="W92" s="139"/>
      <c r="X92" s="145"/>
      <c r="Y92" s="148"/>
      <c r="Z92" s="166" t="str">
        <f t="shared" si="36"/>
        <v/>
      </c>
      <c r="AA92" s="167" t="str">
        <f t="shared" si="37"/>
        <v/>
      </c>
      <c r="AB92" s="168" t="str">
        <f t="shared" si="38"/>
        <v/>
      </c>
      <c r="AC92" s="169" t="str">
        <f t="shared" si="39"/>
        <v/>
      </c>
      <c r="AD92" s="170" t="str">
        <f t="shared" si="40"/>
        <v/>
      </c>
      <c r="AE92" s="169" t="str">
        <f t="shared" si="41"/>
        <v/>
      </c>
      <c r="AF92" s="169" t="str">
        <f t="shared" si="42"/>
        <v/>
      </c>
      <c r="AG92" s="171" t="str">
        <f t="shared" si="43"/>
        <v/>
      </c>
      <c r="AH92" s="168" t="str">
        <f t="shared" si="44"/>
        <v/>
      </c>
      <c r="AI92" s="169" t="str">
        <f t="shared" si="45"/>
        <v/>
      </c>
      <c r="AJ92" s="170" t="str">
        <f t="shared" si="46"/>
        <v/>
      </c>
      <c r="AK92" s="169" t="str">
        <f t="shared" si="47"/>
        <v/>
      </c>
      <c r="AL92" s="169" t="str">
        <f t="shared" si="48"/>
        <v/>
      </c>
      <c r="AM92" s="169" t="str">
        <f t="shared" si="49"/>
        <v/>
      </c>
      <c r="AN92" s="170" t="str">
        <f t="shared" ca="1" si="50"/>
        <v/>
      </c>
      <c r="AO92" s="169" t="str">
        <f t="shared" si="51"/>
        <v/>
      </c>
      <c r="AP92" s="170" t="str">
        <f t="shared" si="52"/>
        <v/>
      </c>
      <c r="AQ92" s="169" t="str">
        <f t="shared" ca="1" si="53"/>
        <v/>
      </c>
      <c r="AR92" s="172" t="str">
        <f t="shared" si="54"/>
        <v/>
      </c>
      <c r="AS92" s="238" t="str">
        <f t="shared" si="55"/>
        <v/>
      </c>
      <c r="AT92" s="239" t="str">
        <f t="shared" ca="1" si="56"/>
        <v/>
      </c>
      <c r="AU92" s="172" t="str">
        <f t="shared" si="57"/>
        <v/>
      </c>
      <c r="AV92" s="232" t="str">
        <f t="shared" si="58"/>
        <v/>
      </c>
      <c r="AW92" s="72" t="str">
        <f t="shared" si="59"/>
        <v/>
      </c>
      <c r="AX92" s="73" t="str">
        <f t="shared" si="60"/>
        <v/>
      </c>
      <c r="AY92" s="73" t="str">
        <f t="shared" si="61"/>
        <v/>
      </c>
      <c r="AZ92" s="74" t="str">
        <f t="shared" ca="1" si="62"/>
        <v/>
      </c>
      <c r="BA92" s="75" t="str">
        <f t="shared" si="63"/>
        <v/>
      </c>
      <c r="BC92" s="89">
        <f t="shared" ca="1" si="64"/>
        <v>0</v>
      </c>
      <c r="BD92" s="90">
        <v>84</v>
      </c>
      <c r="BE92" s="27" t="str">
        <f t="shared" si="65"/>
        <v/>
      </c>
      <c r="BF92" s="28" t="str">
        <f t="shared" ca="1" si="66"/>
        <v/>
      </c>
      <c r="BG92" s="27" t="str">
        <f t="shared" si="67"/>
        <v/>
      </c>
      <c r="BH92" s="29" t="str">
        <f t="shared" si="68"/>
        <v/>
      </c>
      <c r="BI92" s="27" t="str">
        <f t="shared" ca="1" si="69"/>
        <v/>
      </c>
      <c r="BJ92" s="99" t="str">
        <f t="shared" ca="1" si="70"/>
        <v/>
      </c>
      <c r="BK92" s="100" t="str">
        <f t="shared" ca="1" si="71"/>
        <v/>
      </c>
    </row>
    <row r="93" spans="2:63" x14ac:dyDescent="0.25">
      <c r="B93" s="46">
        <v>85</v>
      </c>
      <c r="C93" s="50"/>
      <c r="D93" s="47"/>
      <c r="E93" s="38"/>
      <c r="F93" s="190"/>
      <c r="G93" s="131"/>
      <c r="H93" s="49"/>
      <c r="I93" s="45"/>
      <c r="J93" s="122"/>
      <c r="K93" s="48"/>
      <c r="L93" s="111"/>
      <c r="M93" s="126"/>
      <c r="N93" s="195"/>
      <c r="O93" s="131"/>
      <c r="P93" s="107"/>
      <c r="Q93" s="45"/>
      <c r="R93" s="122"/>
      <c r="S93" s="111"/>
      <c r="T93" s="114"/>
      <c r="U93" s="114"/>
      <c r="V93" s="195"/>
      <c r="W93" s="138"/>
      <c r="X93" s="144"/>
      <c r="Y93" s="147"/>
      <c r="Z93" s="161" t="str">
        <f t="shared" si="36"/>
        <v/>
      </c>
      <c r="AA93" s="162" t="str">
        <f t="shared" si="37"/>
        <v/>
      </c>
      <c r="AB93" s="163" t="str">
        <f t="shared" si="38"/>
        <v/>
      </c>
      <c r="AC93" s="158" t="str">
        <f t="shared" si="39"/>
        <v/>
      </c>
      <c r="AD93" s="159" t="str">
        <f t="shared" si="40"/>
        <v/>
      </c>
      <c r="AE93" s="158" t="str">
        <f t="shared" si="41"/>
        <v/>
      </c>
      <c r="AF93" s="158" t="str">
        <f t="shared" si="42"/>
        <v/>
      </c>
      <c r="AG93" s="164" t="str">
        <f t="shared" si="43"/>
        <v/>
      </c>
      <c r="AH93" s="163" t="str">
        <f t="shared" si="44"/>
        <v/>
      </c>
      <c r="AI93" s="158" t="str">
        <f t="shared" si="45"/>
        <v/>
      </c>
      <c r="AJ93" s="159" t="str">
        <f t="shared" si="46"/>
        <v/>
      </c>
      <c r="AK93" s="158" t="str">
        <f t="shared" si="47"/>
        <v/>
      </c>
      <c r="AL93" s="158" t="str">
        <f t="shared" si="48"/>
        <v/>
      </c>
      <c r="AM93" s="158" t="str">
        <f t="shared" si="49"/>
        <v/>
      </c>
      <c r="AN93" s="159" t="str">
        <f t="shared" ca="1" si="50"/>
        <v/>
      </c>
      <c r="AO93" s="158" t="str">
        <f t="shared" si="51"/>
        <v/>
      </c>
      <c r="AP93" s="159" t="str">
        <f t="shared" si="52"/>
        <v/>
      </c>
      <c r="AQ93" s="158" t="str">
        <f t="shared" ca="1" si="53"/>
        <v/>
      </c>
      <c r="AR93" s="165" t="str">
        <f t="shared" si="54"/>
        <v/>
      </c>
      <c r="AS93" s="236" t="str">
        <f t="shared" si="55"/>
        <v/>
      </c>
      <c r="AT93" s="237" t="str">
        <f t="shared" ca="1" si="56"/>
        <v/>
      </c>
      <c r="AU93" s="165" t="str">
        <f t="shared" si="57"/>
        <v/>
      </c>
      <c r="AV93" s="231" t="str">
        <f t="shared" si="58"/>
        <v/>
      </c>
      <c r="AW93" s="68" t="str">
        <f t="shared" si="59"/>
        <v/>
      </c>
      <c r="AX93" s="69" t="str">
        <f t="shared" si="60"/>
        <v/>
      </c>
      <c r="AY93" s="69" t="str">
        <f t="shared" si="61"/>
        <v/>
      </c>
      <c r="AZ93" s="70" t="str">
        <f t="shared" ca="1" si="62"/>
        <v/>
      </c>
      <c r="BA93" s="71" t="str">
        <f t="shared" si="63"/>
        <v/>
      </c>
      <c r="BC93" s="87">
        <f t="shared" ca="1" si="64"/>
        <v>0</v>
      </c>
      <c r="BD93" s="88">
        <v>85</v>
      </c>
      <c r="BE93" s="31" t="str">
        <f t="shared" si="65"/>
        <v/>
      </c>
      <c r="BF93" s="32" t="str">
        <f t="shared" ca="1" si="66"/>
        <v/>
      </c>
      <c r="BG93" s="31" t="str">
        <f t="shared" si="67"/>
        <v/>
      </c>
      <c r="BH93" s="33" t="str">
        <f t="shared" si="68"/>
        <v/>
      </c>
      <c r="BI93" s="31" t="str">
        <f t="shared" ca="1" si="69"/>
        <v/>
      </c>
      <c r="BJ93" s="97" t="str">
        <f t="shared" ca="1" si="70"/>
        <v/>
      </c>
      <c r="BK93" s="98" t="str">
        <f t="shared" ca="1" si="71"/>
        <v/>
      </c>
    </row>
    <row r="94" spans="2:63" x14ac:dyDescent="0.25">
      <c r="B94" s="46">
        <v>86</v>
      </c>
      <c r="C94" s="50"/>
      <c r="D94" s="47"/>
      <c r="E94" s="38"/>
      <c r="F94" s="190"/>
      <c r="G94" s="131"/>
      <c r="H94" s="49"/>
      <c r="I94" s="45"/>
      <c r="J94" s="122"/>
      <c r="K94" s="48"/>
      <c r="L94" s="111"/>
      <c r="M94" s="126"/>
      <c r="N94" s="195"/>
      <c r="O94" s="131"/>
      <c r="P94" s="107"/>
      <c r="Q94" s="45"/>
      <c r="R94" s="122"/>
      <c r="S94" s="111"/>
      <c r="T94" s="114"/>
      <c r="U94" s="114"/>
      <c r="V94" s="195"/>
      <c r="W94" s="138"/>
      <c r="X94" s="144"/>
      <c r="Y94" s="147"/>
      <c r="Z94" s="161" t="str">
        <f t="shared" si="36"/>
        <v/>
      </c>
      <c r="AA94" s="162" t="str">
        <f t="shared" si="37"/>
        <v/>
      </c>
      <c r="AB94" s="163" t="str">
        <f t="shared" si="38"/>
        <v/>
      </c>
      <c r="AC94" s="158" t="str">
        <f t="shared" si="39"/>
        <v/>
      </c>
      <c r="AD94" s="159" t="str">
        <f t="shared" si="40"/>
        <v/>
      </c>
      <c r="AE94" s="158" t="str">
        <f t="shared" si="41"/>
        <v/>
      </c>
      <c r="AF94" s="158" t="str">
        <f t="shared" si="42"/>
        <v/>
      </c>
      <c r="AG94" s="164" t="str">
        <f t="shared" si="43"/>
        <v/>
      </c>
      <c r="AH94" s="163" t="str">
        <f t="shared" si="44"/>
        <v/>
      </c>
      <c r="AI94" s="158" t="str">
        <f t="shared" si="45"/>
        <v/>
      </c>
      <c r="AJ94" s="159" t="str">
        <f t="shared" si="46"/>
        <v/>
      </c>
      <c r="AK94" s="158" t="str">
        <f t="shared" si="47"/>
        <v/>
      </c>
      <c r="AL94" s="158" t="str">
        <f t="shared" si="48"/>
        <v/>
      </c>
      <c r="AM94" s="158" t="str">
        <f t="shared" si="49"/>
        <v/>
      </c>
      <c r="AN94" s="159" t="str">
        <f t="shared" ca="1" si="50"/>
        <v/>
      </c>
      <c r="AO94" s="158" t="str">
        <f t="shared" si="51"/>
        <v/>
      </c>
      <c r="AP94" s="159" t="str">
        <f t="shared" si="52"/>
        <v/>
      </c>
      <c r="AQ94" s="158" t="str">
        <f t="shared" ca="1" si="53"/>
        <v/>
      </c>
      <c r="AR94" s="165" t="str">
        <f t="shared" si="54"/>
        <v/>
      </c>
      <c r="AS94" s="236" t="str">
        <f t="shared" si="55"/>
        <v/>
      </c>
      <c r="AT94" s="237" t="str">
        <f t="shared" ca="1" si="56"/>
        <v/>
      </c>
      <c r="AU94" s="165" t="str">
        <f t="shared" si="57"/>
        <v/>
      </c>
      <c r="AV94" s="231" t="str">
        <f t="shared" si="58"/>
        <v/>
      </c>
      <c r="AW94" s="68" t="str">
        <f t="shared" si="59"/>
        <v/>
      </c>
      <c r="AX94" s="69" t="str">
        <f t="shared" si="60"/>
        <v/>
      </c>
      <c r="AY94" s="69" t="str">
        <f t="shared" si="61"/>
        <v/>
      </c>
      <c r="AZ94" s="70" t="str">
        <f t="shared" ca="1" si="62"/>
        <v/>
      </c>
      <c r="BA94" s="71" t="str">
        <f t="shared" si="63"/>
        <v/>
      </c>
      <c r="BC94" s="87">
        <f t="shared" ca="1" si="64"/>
        <v>0</v>
      </c>
      <c r="BD94" s="88">
        <v>86</v>
      </c>
      <c r="BE94" s="31" t="str">
        <f t="shared" si="65"/>
        <v/>
      </c>
      <c r="BF94" s="32" t="str">
        <f t="shared" ca="1" si="66"/>
        <v/>
      </c>
      <c r="BG94" s="31" t="str">
        <f t="shared" si="67"/>
        <v/>
      </c>
      <c r="BH94" s="33" t="str">
        <f t="shared" si="68"/>
        <v/>
      </c>
      <c r="BI94" s="31" t="str">
        <f t="shared" ca="1" si="69"/>
        <v/>
      </c>
      <c r="BJ94" s="97" t="str">
        <f t="shared" ca="1" si="70"/>
        <v/>
      </c>
      <c r="BK94" s="98" t="str">
        <f t="shared" ca="1" si="71"/>
        <v/>
      </c>
    </row>
    <row r="95" spans="2:63" x14ac:dyDescent="0.25">
      <c r="B95" s="46">
        <v>87</v>
      </c>
      <c r="C95" s="50"/>
      <c r="D95" s="47"/>
      <c r="E95" s="38"/>
      <c r="F95" s="190"/>
      <c r="G95" s="131"/>
      <c r="H95" s="49"/>
      <c r="I95" s="45"/>
      <c r="J95" s="122"/>
      <c r="K95" s="48"/>
      <c r="L95" s="111"/>
      <c r="M95" s="126"/>
      <c r="N95" s="195"/>
      <c r="O95" s="131"/>
      <c r="P95" s="107"/>
      <c r="Q95" s="45"/>
      <c r="R95" s="122"/>
      <c r="S95" s="111"/>
      <c r="T95" s="114"/>
      <c r="U95" s="114"/>
      <c r="V95" s="195"/>
      <c r="W95" s="138"/>
      <c r="X95" s="144"/>
      <c r="Y95" s="147"/>
      <c r="Z95" s="161" t="str">
        <f t="shared" si="36"/>
        <v/>
      </c>
      <c r="AA95" s="162" t="str">
        <f t="shared" si="37"/>
        <v/>
      </c>
      <c r="AB95" s="163" t="str">
        <f t="shared" si="38"/>
        <v/>
      </c>
      <c r="AC95" s="158" t="str">
        <f t="shared" si="39"/>
        <v/>
      </c>
      <c r="AD95" s="159" t="str">
        <f t="shared" si="40"/>
        <v/>
      </c>
      <c r="AE95" s="158" t="str">
        <f t="shared" si="41"/>
        <v/>
      </c>
      <c r="AF95" s="158" t="str">
        <f t="shared" si="42"/>
        <v/>
      </c>
      <c r="AG95" s="164" t="str">
        <f t="shared" si="43"/>
        <v/>
      </c>
      <c r="AH95" s="163" t="str">
        <f t="shared" si="44"/>
        <v/>
      </c>
      <c r="AI95" s="158" t="str">
        <f t="shared" si="45"/>
        <v/>
      </c>
      <c r="AJ95" s="159" t="str">
        <f t="shared" si="46"/>
        <v/>
      </c>
      <c r="AK95" s="158" t="str">
        <f t="shared" si="47"/>
        <v/>
      </c>
      <c r="AL95" s="158" t="str">
        <f t="shared" si="48"/>
        <v/>
      </c>
      <c r="AM95" s="158" t="str">
        <f t="shared" si="49"/>
        <v/>
      </c>
      <c r="AN95" s="159" t="str">
        <f t="shared" ca="1" si="50"/>
        <v/>
      </c>
      <c r="AO95" s="158" t="str">
        <f t="shared" si="51"/>
        <v/>
      </c>
      <c r="AP95" s="159" t="str">
        <f t="shared" si="52"/>
        <v/>
      </c>
      <c r="AQ95" s="158" t="str">
        <f t="shared" ca="1" si="53"/>
        <v/>
      </c>
      <c r="AR95" s="165" t="str">
        <f t="shared" si="54"/>
        <v/>
      </c>
      <c r="AS95" s="236" t="str">
        <f t="shared" si="55"/>
        <v/>
      </c>
      <c r="AT95" s="237" t="str">
        <f t="shared" ca="1" si="56"/>
        <v/>
      </c>
      <c r="AU95" s="165" t="str">
        <f t="shared" si="57"/>
        <v/>
      </c>
      <c r="AV95" s="231" t="str">
        <f t="shared" si="58"/>
        <v/>
      </c>
      <c r="AW95" s="68" t="str">
        <f t="shared" si="59"/>
        <v/>
      </c>
      <c r="AX95" s="69" t="str">
        <f t="shared" si="60"/>
        <v/>
      </c>
      <c r="AY95" s="69" t="str">
        <f t="shared" si="61"/>
        <v/>
      </c>
      <c r="AZ95" s="70" t="str">
        <f t="shared" ca="1" si="62"/>
        <v/>
      </c>
      <c r="BA95" s="71" t="str">
        <f t="shared" si="63"/>
        <v/>
      </c>
      <c r="BC95" s="87">
        <f t="shared" ca="1" si="64"/>
        <v>0</v>
      </c>
      <c r="BD95" s="88">
        <v>87</v>
      </c>
      <c r="BE95" s="31" t="str">
        <f t="shared" si="65"/>
        <v/>
      </c>
      <c r="BF95" s="32" t="str">
        <f t="shared" ca="1" si="66"/>
        <v/>
      </c>
      <c r="BG95" s="31" t="str">
        <f t="shared" si="67"/>
        <v/>
      </c>
      <c r="BH95" s="33" t="str">
        <f t="shared" si="68"/>
        <v/>
      </c>
      <c r="BI95" s="31" t="str">
        <f t="shared" ca="1" si="69"/>
        <v/>
      </c>
      <c r="BJ95" s="97" t="str">
        <f t="shared" ca="1" si="70"/>
        <v/>
      </c>
      <c r="BK95" s="98" t="str">
        <f t="shared" ca="1" si="71"/>
        <v/>
      </c>
    </row>
    <row r="96" spans="2:63" x14ac:dyDescent="0.25">
      <c r="B96" s="51">
        <v>88</v>
      </c>
      <c r="C96" s="52"/>
      <c r="D96" s="53"/>
      <c r="E96" s="37"/>
      <c r="F96" s="191"/>
      <c r="G96" s="132"/>
      <c r="H96" s="56"/>
      <c r="I96" s="54"/>
      <c r="J96" s="123"/>
      <c r="K96" s="55"/>
      <c r="L96" s="112"/>
      <c r="M96" s="127"/>
      <c r="N96" s="196"/>
      <c r="O96" s="132"/>
      <c r="P96" s="108"/>
      <c r="Q96" s="54"/>
      <c r="R96" s="123"/>
      <c r="S96" s="112"/>
      <c r="T96" s="115"/>
      <c r="U96" s="115"/>
      <c r="V96" s="196"/>
      <c r="W96" s="139"/>
      <c r="X96" s="145"/>
      <c r="Y96" s="148"/>
      <c r="Z96" s="166" t="str">
        <f t="shared" si="36"/>
        <v/>
      </c>
      <c r="AA96" s="167" t="str">
        <f t="shared" si="37"/>
        <v/>
      </c>
      <c r="AB96" s="168" t="str">
        <f t="shared" si="38"/>
        <v/>
      </c>
      <c r="AC96" s="169" t="str">
        <f t="shared" si="39"/>
        <v/>
      </c>
      <c r="AD96" s="170" t="str">
        <f t="shared" si="40"/>
        <v/>
      </c>
      <c r="AE96" s="169" t="str">
        <f t="shared" si="41"/>
        <v/>
      </c>
      <c r="AF96" s="169" t="str">
        <f t="shared" si="42"/>
        <v/>
      </c>
      <c r="AG96" s="171" t="str">
        <f t="shared" si="43"/>
        <v/>
      </c>
      <c r="AH96" s="168" t="str">
        <f t="shared" si="44"/>
        <v/>
      </c>
      <c r="AI96" s="169" t="str">
        <f t="shared" si="45"/>
        <v/>
      </c>
      <c r="AJ96" s="170" t="str">
        <f t="shared" si="46"/>
        <v/>
      </c>
      <c r="AK96" s="169" t="str">
        <f t="shared" si="47"/>
        <v/>
      </c>
      <c r="AL96" s="169" t="str">
        <f t="shared" si="48"/>
        <v/>
      </c>
      <c r="AM96" s="169" t="str">
        <f t="shared" si="49"/>
        <v/>
      </c>
      <c r="AN96" s="170" t="str">
        <f t="shared" ca="1" si="50"/>
        <v/>
      </c>
      <c r="AO96" s="169" t="str">
        <f t="shared" si="51"/>
        <v/>
      </c>
      <c r="AP96" s="170" t="str">
        <f t="shared" si="52"/>
        <v/>
      </c>
      <c r="AQ96" s="169" t="str">
        <f t="shared" ca="1" si="53"/>
        <v/>
      </c>
      <c r="AR96" s="172" t="str">
        <f t="shared" si="54"/>
        <v/>
      </c>
      <c r="AS96" s="238" t="str">
        <f t="shared" si="55"/>
        <v/>
      </c>
      <c r="AT96" s="239" t="str">
        <f t="shared" ca="1" si="56"/>
        <v/>
      </c>
      <c r="AU96" s="172" t="str">
        <f t="shared" si="57"/>
        <v/>
      </c>
      <c r="AV96" s="232" t="str">
        <f t="shared" si="58"/>
        <v/>
      </c>
      <c r="AW96" s="72" t="str">
        <f t="shared" si="59"/>
        <v/>
      </c>
      <c r="AX96" s="73" t="str">
        <f t="shared" si="60"/>
        <v/>
      </c>
      <c r="AY96" s="73" t="str">
        <f t="shared" si="61"/>
        <v/>
      </c>
      <c r="AZ96" s="74" t="str">
        <f t="shared" ca="1" si="62"/>
        <v/>
      </c>
      <c r="BA96" s="75" t="str">
        <f t="shared" si="63"/>
        <v/>
      </c>
      <c r="BC96" s="89">
        <f t="shared" ca="1" si="64"/>
        <v>0</v>
      </c>
      <c r="BD96" s="90">
        <v>88</v>
      </c>
      <c r="BE96" s="27" t="str">
        <f t="shared" si="65"/>
        <v/>
      </c>
      <c r="BF96" s="28" t="str">
        <f t="shared" ca="1" si="66"/>
        <v/>
      </c>
      <c r="BG96" s="27" t="str">
        <f t="shared" si="67"/>
        <v/>
      </c>
      <c r="BH96" s="29" t="str">
        <f t="shared" si="68"/>
        <v/>
      </c>
      <c r="BI96" s="27" t="str">
        <f t="shared" ca="1" si="69"/>
        <v/>
      </c>
      <c r="BJ96" s="99" t="str">
        <f t="shared" ca="1" si="70"/>
        <v/>
      </c>
      <c r="BK96" s="100" t="str">
        <f t="shared" ca="1" si="71"/>
        <v/>
      </c>
    </row>
    <row r="97" spans="2:63" x14ac:dyDescent="0.25">
      <c r="B97" s="51">
        <v>89</v>
      </c>
      <c r="C97" s="52"/>
      <c r="D97" s="53"/>
      <c r="E97" s="37"/>
      <c r="F97" s="191"/>
      <c r="G97" s="132"/>
      <c r="H97" s="56"/>
      <c r="I97" s="54"/>
      <c r="J97" s="123"/>
      <c r="K97" s="55"/>
      <c r="L97" s="112"/>
      <c r="M97" s="127"/>
      <c r="N97" s="196"/>
      <c r="O97" s="132"/>
      <c r="P97" s="108"/>
      <c r="Q97" s="54"/>
      <c r="R97" s="123"/>
      <c r="S97" s="112"/>
      <c r="T97" s="115"/>
      <c r="U97" s="115"/>
      <c r="V97" s="196"/>
      <c r="W97" s="139"/>
      <c r="X97" s="145"/>
      <c r="Y97" s="148"/>
      <c r="Z97" s="166" t="str">
        <f t="shared" si="36"/>
        <v/>
      </c>
      <c r="AA97" s="167" t="str">
        <f t="shared" si="37"/>
        <v/>
      </c>
      <c r="AB97" s="168" t="str">
        <f t="shared" si="38"/>
        <v/>
      </c>
      <c r="AC97" s="169" t="str">
        <f t="shared" si="39"/>
        <v/>
      </c>
      <c r="AD97" s="170" t="str">
        <f t="shared" si="40"/>
        <v/>
      </c>
      <c r="AE97" s="169" t="str">
        <f t="shared" si="41"/>
        <v/>
      </c>
      <c r="AF97" s="169" t="str">
        <f t="shared" si="42"/>
        <v/>
      </c>
      <c r="AG97" s="171" t="str">
        <f t="shared" si="43"/>
        <v/>
      </c>
      <c r="AH97" s="168" t="str">
        <f t="shared" si="44"/>
        <v/>
      </c>
      <c r="AI97" s="169" t="str">
        <f t="shared" si="45"/>
        <v/>
      </c>
      <c r="AJ97" s="170" t="str">
        <f t="shared" si="46"/>
        <v/>
      </c>
      <c r="AK97" s="169" t="str">
        <f t="shared" si="47"/>
        <v/>
      </c>
      <c r="AL97" s="169" t="str">
        <f t="shared" si="48"/>
        <v/>
      </c>
      <c r="AM97" s="169" t="str">
        <f t="shared" si="49"/>
        <v/>
      </c>
      <c r="AN97" s="170" t="str">
        <f t="shared" ca="1" si="50"/>
        <v/>
      </c>
      <c r="AO97" s="169" t="str">
        <f t="shared" si="51"/>
        <v/>
      </c>
      <c r="AP97" s="170" t="str">
        <f t="shared" si="52"/>
        <v/>
      </c>
      <c r="AQ97" s="169" t="str">
        <f t="shared" ca="1" si="53"/>
        <v/>
      </c>
      <c r="AR97" s="172" t="str">
        <f t="shared" si="54"/>
        <v/>
      </c>
      <c r="AS97" s="238" t="str">
        <f t="shared" si="55"/>
        <v/>
      </c>
      <c r="AT97" s="239" t="str">
        <f t="shared" ca="1" si="56"/>
        <v/>
      </c>
      <c r="AU97" s="172" t="str">
        <f t="shared" si="57"/>
        <v/>
      </c>
      <c r="AV97" s="232" t="str">
        <f t="shared" si="58"/>
        <v/>
      </c>
      <c r="AW97" s="72" t="str">
        <f t="shared" si="59"/>
        <v/>
      </c>
      <c r="AX97" s="73" t="str">
        <f t="shared" si="60"/>
        <v/>
      </c>
      <c r="AY97" s="73" t="str">
        <f t="shared" si="61"/>
        <v/>
      </c>
      <c r="AZ97" s="74" t="str">
        <f t="shared" ca="1" si="62"/>
        <v/>
      </c>
      <c r="BA97" s="75" t="str">
        <f t="shared" si="63"/>
        <v/>
      </c>
      <c r="BC97" s="89">
        <f t="shared" ca="1" si="64"/>
        <v>0</v>
      </c>
      <c r="BD97" s="90">
        <v>89</v>
      </c>
      <c r="BE97" s="27" t="str">
        <f t="shared" si="65"/>
        <v/>
      </c>
      <c r="BF97" s="28" t="str">
        <f t="shared" ca="1" si="66"/>
        <v/>
      </c>
      <c r="BG97" s="27" t="str">
        <f t="shared" si="67"/>
        <v/>
      </c>
      <c r="BH97" s="29" t="str">
        <f t="shared" si="68"/>
        <v/>
      </c>
      <c r="BI97" s="27" t="str">
        <f t="shared" ca="1" si="69"/>
        <v/>
      </c>
      <c r="BJ97" s="99" t="str">
        <f t="shared" ca="1" si="70"/>
        <v/>
      </c>
      <c r="BK97" s="100" t="str">
        <f t="shared" ca="1" si="71"/>
        <v/>
      </c>
    </row>
    <row r="98" spans="2:63" x14ac:dyDescent="0.25">
      <c r="B98" s="51">
        <v>90</v>
      </c>
      <c r="C98" s="52"/>
      <c r="D98" s="53"/>
      <c r="E98" s="37"/>
      <c r="F98" s="191"/>
      <c r="G98" s="132"/>
      <c r="H98" s="56"/>
      <c r="I98" s="54"/>
      <c r="J98" s="123"/>
      <c r="K98" s="55"/>
      <c r="L98" s="112"/>
      <c r="M98" s="127"/>
      <c r="N98" s="196"/>
      <c r="O98" s="132"/>
      <c r="P98" s="108"/>
      <c r="Q98" s="54"/>
      <c r="R98" s="123"/>
      <c r="S98" s="112"/>
      <c r="T98" s="115"/>
      <c r="U98" s="115"/>
      <c r="V98" s="196"/>
      <c r="W98" s="139"/>
      <c r="X98" s="145"/>
      <c r="Y98" s="148"/>
      <c r="Z98" s="166" t="str">
        <f t="shared" si="36"/>
        <v/>
      </c>
      <c r="AA98" s="167" t="str">
        <f t="shared" si="37"/>
        <v/>
      </c>
      <c r="AB98" s="168" t="str">
        <f t="shared" si="38"/>
        <v/>
      </c>
      <c r="AC98" s="169" t="str">
        <f t="shared" si="39"/>
        <v/>
      </c>
      <c r="AD98" s="170" t="str">
        <f t="shared" si="40"/>
        <v/>
      </c>
      <c r="AE98" s="169" t="str">
        <f t="shared" si="41"/>
        <v/>
      </c>
      <c r="AF98" s="169" t="str">
        <f t="shared" si="42"/>
        <v/>
      </c>
      <c r="AG98" s="171" t="str">
        <f t="shared" si="43"/>
        <v/>
      </c>
      <c r="AH98" s="168" t="str">
        <f t="shared" si="44"/>
        <v/>
      </c>
      <c r="AI98" s="169" t="str">
        <f t="shared" si="45"/>
        <v/>
      </c>
      <c r="AJ98" s="170" t="str">
        <f t="shared" si="46"/>
        <v/>
      </c>
      <c r="AK98" s="169" t="str">
        <f t="shared" si="47"/>
        <v/>
      </c>
      <c r="AL98" s="169" t="str">
        <f t="shared" si="48"/>
        <v/>
      </c>
      <c r="AM98" s="169" t="str">
        <f t="shared" si="49"/>
        <v/>
      </c>
      <c r="AN98" s="170" t="str">
        <f t="shared" ca="1" si="50"/>
        <v/>
      </c>
      <c r="AO98" s="169" t="str">
        <f t="shared" si="51"/>
        <v/>
      </c>
      <c r="AP98" s="170" t="str">
        <f t="shared" si="52"/>
        <v/>
      </c>
      <c r="AQ98" s="169" t="str">
        <f t="shared" ca="1" si="53"/>
        <v/>
      </c>
      <c r="AR98" s="172" t="str">
        <f t="shared" si="54"/>
        <v/>
      </c>
      <c r="AS98" s="238" t="str">
        <f t="shared" si="55"/>
        <v/>
      </c>
      <c r="AT98" s="239" t="str">
        <f t="shared" ca="1" si="56"/>
        <v/>
      </c>
      <c r="AU98" s="172" t="str">
        <f t="shared" si="57"/>
        <v/>
      </c>
      <c r="AV98" s="232" t="str">
        <f t="shared" si="58"/>
        <v/>
      </c>
      <c r="AW98" s="72" t="str">
        <f t="shared" si="59"/>
        <v/>
      </c>
      <c r="AX98" s="73" t="str">
        <f t="shared" si="60"/>
        <v/>
      </c>
      <c r="AY98" s="73" t="str">
        <f t="shared" si="61"/>
        <v/>
      </c>
      <c r="AZ98" s="74" t="str">
        <f t="shared" ca="1" si="62"/>
        <v/>
      </c>
      <c r="BA98" s="75" t="str">
        <f t="shared" si="63"/>
        <v/>
      </c>
      <c r="BC98" s="89">
        <f t="shared" ca="1" si="64"/>
        <v>0</v>
      </c>
      <c r="BD98" s="90">
        <v>90</v>
      </c>
      <c r="BE98" s="27" t="str">
        <f t="shared" si="65"/>
        <v/>
      </c>
      <c r="BF98" s="28" t="str">
        <f t="shared" ca="1" si="66"/>
        <v/>
      </c>
      <c r="BG98" s="27" t="str">
        <f t="shared" si="67"/>
        <v/>
      </c>
      <c r="BH98" s="29" t="str">
        <f t="shared" si="68"/>
        <v/>
      </c>
      <c r="BI98" s="27" t="str">
        <f t="shared" ca="1" si="69"/>
        <v/>
      </c>
      <c r="BJ98" s="99" t="str">
        <f t="shared" ca="1" si="70"/>
        <v/>
      </c>
      <c r="BK98" s="100" t="str">
        <f t="shared" ca="1" si="71"/>
        <v/>
      </c>
    </row>
    <row r="99" spans="2:63" x14ac:dyDescent="0.25">
      <c r="B99" s="46">
        <v>91</v>
      </c>
      <c r="C99" s="50"/>
      <c r="D99" s="47"/>
      <c r="E99" s="38"/>
      <c r="F99" s="190"/>
      <c r="G99" s="131"/>
      <c r="H99" s="49"/>
      <c r="I99" s="45"/>
      <c r="J99" s="122"/>
      <c r="K99" s="48"/>
      <c r="L99" s="111"/>
      <c r="M99" s="126"/>
      <c r="N99" s="195"/>
      <c r="O99" s="131"/>
      <c r="P99" s="107"/>
      <c r="Q99" s="45"/>
      <c r="R99" s="122"/>
      <c r="S99" s="111"/>
      <c r="T99" s="114"/>
      <c r="U99" s="114"/>
      <c r="V99" s="195"/>
      <c r="W99" s="138"/>
      <c r="X99" s="144"/>
      <c r="Y99" s="147"/>
      <c r="Z99" s="161" t="str">
        <f t="shared" si="36"/>
        <v/>
      </c>
      <c r="AA99" s="162" t="str">
        <f t="shared" si="37"/>
        <v/>
      </c>
      <c r="AB99" s="163" t="str">
        <f t="shared" si="38"/>
        <v/>
      </c>
      <c r="AC99" s="158" t="str">
        <f t="shared" si="39"/>
        <v/>
      </c>
      <c r="AD99" s="159" t="str">
        <f t="shared" si="40"/>
        <v/>
      </c>
      <c r="AE99" s="158" t="str">
        <f t="shared" si="41"/>
        <v/>
      </c>
      <c r="AF99" s="158" t="str">
        <f t="shared" si="42"/>
        <v/>
      </c>
      <c r="AG99" s="164" t="str">
        <f t="shared" si="43"/>
        <v/>
      </c>
      <c r="AH99" s="163" t="str">
        <f t="shared" si="44"/>
        <v/>
      </c>
      <c r="AI99" s="158" t="str">
        <f t="shared" si="45"/>
        <v/>
      </c>
      <c r="AJ99" s="159" t="str">
        <f t="shared" si="46"/>
        <v/>
      </c>
      <c r="AK99" s="158" t="str">
        <f t="shared" si="47"/>
        <v/>
      </c>
      <c r="AL99" s="158" t="str">
        <f t="shared" si="48"/>
        <v/>
      </c>
      <c r="AM99" s="158" t="str">
        <f t="shared" si="49"/>
        <v/>
      </c>
      <c r="AN99" s="159" t="str">
        <f t="shared" ca="1" si="50"/>
        <v/>
      </c>
      <c r="AO99" s="158" t="str">
        <f t="shared" si="51"/>
        <v/>
      </c>
      <c r="AP99" s="159" t="str">
        <f t="shared" si="52"/>
        <v/>
      </c>
      <c r="AQ99" s="158" t="str">
        <f t="shared" ca="1" si="53"/>
        <v/>
      </c>
      <c r="AR99" s="165" t="str">
        <f t="shared" si="54"/>
        <v/>
      </c>
      <c r="AS99" s="236" t="str">
        <f t="shared" si="55"/>
        <v/>
      </c>
      <c r="AT99" s="237" t="str">
        <f t="shared" ca="1" si="56"/>
        <v/>
      </c>
      <c r="AU99" s="165" t="str">
        <f t="shared" si="57"/>
        <v/>
      </c>
      <c r="AV99" s="231" t="str">
        <f t="shared" si="58"/>
        <v/>
      </c>
      <c r="AW99" s="68" t="str">
        <f t="shared" si="59"/>
        <v/>
      </c>
      <c r="AX99" s="69" t="str">
        <f t="shared" si="60"/>
        <v/>
      </c>
      <c r="AY99" s="69" t="str">
        <f t="shared" si="61"/>
        <v/>
      </c>
      <c r="AZ99" s="70" t="str">
        <f t="shared" ca="1" si="62"/>
        <v/>
      </c>
      <c r="BA99" s="71" t="str">
        <f t="shared" si="63"/>
        <v/>
      </c>
      <c r="BC99" s="87">
        <f t="shared" ca="1" si="64"/>
        <v>0</v>
      </c>
      <c r="BD99" s="88">
        <v>91</v>
      </c>
      <c r="BE99" s="31" t="str">
        <f t="shared" si="65"/>
        <v/>
      </c>
      <c r="BF99" s="32" t="str">
        <f t="shared" ca="1" si="66"/>
        <v/>
      </c>
      <c r="BG99" s="31" t="str">
        <f t="shared" si="67"/>
        <v/>
      </c>
      <c r="BH99" s="33" t="str">
        <f t="shared" si="68"/>
        <v/>
      </c>
      <c r="BI99" s="31" t="str">
        <f t="shared" ca="1" si="69"/>
        <v/>
      </c>
      <c r="BJ99" s="97" t="str">
        <f t="shared" ca="1" si="70"/>
        <v/>
      </c>
      <c r="BK99" s="98" t="str">
        <f t="shared" ca="1" si="71"/>
        <v/>
      </c>
    </row>
    <row r="100" spans="2:63" x14ac:dyDescent="0.25">
      <c r="B100" s="46">
        <v>92</v>
      </c>
      <c r="C100" s="50"/>
      <c r="D100" s="47"/>
      <c r="E100" s="38"/>
      <c r="F100" s="190"/>
      <c r="G100" s="131"/>
      <c r="H100" s="49"/>
      <c r="I100" s="45"/>
      <c r="J100" s="122"/>
      <c r="K100" s="48"/>
      <c r="L100" s="111"/>
      <c r="M100" s="126"/>
      <c r="N100" s="195"/>
      <c r="O100" s="131"/>
      <c r="P100" s="107"/>
      <c r="Q100" s="45"/>
      <c r="R100" s="122"/>
      <c r="S100" s="111"/>
      <c r="T100" s="114"/>
      <c r="U100" s="114"/>
      <c r="V100" s="195"/>
      <c r="W100" s="138"/>
      <c r="X100" s="144"/>
      <c r="Y100" s="147"/>
      <c r="Z100" s="161" t="str">
        <f t="shared" si="36"/>
        <v/>
      </c>
      <c r="AA100" s="162" t="str">
        <f t="shared" si="37"/>
        <v/>
      </c>
      <c r="AB100" s="163" t="str">
        <f t="shared" si="38"/>
        <v/>
      </c>
      <c r="AC100" s="158" t="str">
        <f t="shared" si="39"/>
        <v/>
      </c>
      <c r="AD100" s="159" t="str">
        <f t="shared" si="40"/>
        <v/>
      </c>
      <c r="AE100" s="158" t="str">
        <f t="shared" si="41"/>
        <v/>
      </c>
      <c r="AF100" s="158" t="str">
        <f t="shared" si="42"/>
        <v/>
      </c>
      <c r="AG100" s="164" t="str">
        <f t="shared" si="43"/>
        <v/>
      </c>
      <c r="AH100" s="163" t="str">
        <f t="shared" si="44"/>
        <v/>
      </c>
      <c r="AI100" s="158" t="str">
        <f t="shared" si="45"/>
        <v/>
      </c>
      <c r="AJ100" s="159" t="str">
        <f t="shared" si="46"/>
        <v/>
      </c>
      <c r="AK100" s="158" t="str">
        <f t="shared" si="47"/>
        <v/>
      </c>
      <c r="AL100" s="158" t="str">
        <f t="shared" si="48"/>
        <v/>
      </c>
      <c r="AM100" s="158" t="str">
        <f t="shared" si="49"/>
        <v/>
      </c>
      <c r="AN100" s="159" t="str">
        <f t="shared" ca="1" si="50"/>
        <v/>
      </c>
      <c r="AO100" s="158" t="str">
        <f t="shared" si="51"/>
        <v/>
      </c>
      <c r="AP100" s="159" t="str">
        <f t="shared" si="52"/>
        <v/>
      </c>
      <c r="AQ100" s="158" t="str">
        <f t="shared" ca="1" si="53"/>
        <v/>
      </c>
      <c r="AR100" s="165" t="str">
        <f t="shared" si="54"/>
        <v/>
      </c>
      <c r="AS100" s="236" t="str">
        <f t="shared" si="55"/>
        <v/>
      </c>
      <c r="AT100" s="237" t="str">
        <f t="shared" ca="1" si="56"/>
        <v/>
      </c>
      <c r="AU100" s="165" t="str">
        <f t="shared" si="57"/>
        <v/>
      </c>
      <c r="AV100" s="231" t="str">
        <f t="shared" si="58"/>
        <v/>
      </c>
      <c r="AW100" s="68" t="str">
        <f t="shared" si="59"/>
        <v/>
      </c>
      <c r="AX100" s="69" t="str">
        <f t="shared" si="60"/>
        <v/>
      </c>
      <c r="AY100" s="69" t="str">
        <f t="shared" si="61"/>
        <v/>
      </c>
      <c r="AZ100" s="70" t="str">
        <f t="shared" ca="1" si="62"/>
        <v/>
      </c>
      <c r="BA100" s="71" t="str">
        <f t="shared" si="63"/>
        <v/>
      </c>
      <c r="BC100" s="87">
        <f t="shared" ca="1" si="64"/>
        <v>0</v>
      </c>
      <c r="BD100" s="88">
        <v>92</v>
      </c>
      <c r="BE100" s="31" t="str">
        <f t="shared" si="65"/>
        <v/>
      </c>
      <c r="BF100" s="32" t="str">
        <f t="shared" ca="1" si="66"/>
        <v/>
      </c>
      <c r="BG100" s="31" t="str">
        <f t="shared" si="67"/>
        <v/>
      </c>
      <c r="BH100" s="33" t="str">
        <f t="shared" si="68"/>
        <v/>
      </c>
      <c r="BI100" s="31" t="str">
        <f t="shared" ca="1" si="69"/>
        <v/>
      </c>
      <c r="BJ100" s="97" t="str">
        <f t="shared" ca="1" si="70"/>
        <v/>
      </c>
      <c r="BK100" s="98" t="str">
        <f t="shared" ca="1" si="71"/>
        <v/>
      </c>
    </row>
    <row r="101" spans="2:63" x14ac:dyDescent="0.25">
      <c r="B101" s="46">
        <v>93</v>
      </c>
      <c r="C101" s="50"/>
      <c r="D101" s="47"/>
      <c r="E101" s="38"/>
      <c r="F101" s="190"/>
      <c r="G101" s="131"/>
      <c r="H101" s="49"/>
      <c r="I101" s="45"/>
      <c r="J101" s="122"/>
      <c r="K101" s="48"/>
      <c r="L101" s="111"/>
      <c r="M101" s="126"/>
      <c r="N101" s="195"/>
      <c r="O101" s="131"/>
      <c r="P101" s="107"/>
      <c r="Q101" s="45"/>
      <c r="R101" s="122"/>
      <c r="S101" s="111"/>
      <c r="T101" s="114"/>
      <c r="U101" s="114"/>
      <c r="V101" s="195"/>
      <c r="W101" s="138"/>
      <c r="X101" s="144"/>
      <c r="Y101" s="147"/>
      <c r="Z101" s="161" t="str">
        <f t="shared" si="36"/>
        <v/>
      </c>
      <c r="AA101" s="162" t="str">
        <f t="shared" si="37"/>
        <v/>
      </c>
      <c r="AB101" s="163" t="str">
        <f t="shared" si="38"/>
        <v/>
      </c>
      <c r="AC101" s="158" t="str">
        <f t="shared" si="39"/>
        <v/>
      </c>
      <c r="AD101" s="159" t="str">
        <f t="shared" si="40"/>
        <v/>
      </c>
      <c r="AE101" s="158" t="str">
        <f t="shared" si="41"/>
        <v/>
      </c>
      <c r="AF101" s="158" t="str">
        <f t="shared" si="42"/>
        <v/>
      </c>
      <c r="AG101" s="164" t="str">
        <f t="shared" si="43"/>
        <v/>
      </c>
      <c r="AH101" s="163" t="str">
        <f t="shared" si="44"/>
        <v/>
      </c>
      <c r="AI101" s="158" t="str">
        <f t="shared" si="45"/>
        <v/>
      </c>
      <c r="AJ101" s="159" t="str">
        <f t="shared" si="46"/>
        <v/>
      </c>
      <c r="AK101" s="158" t="str">
        <f t="shared" si="47"/>
        <v/>
      </c>
      <c r="AL101" s="158" t="str">
        <f t="shared" si="48"/>
        <v/>
      </c>
      <c r="AM101" s="158" t="str">
        <f t="shared" si="49"/>
        <v/>
      </c>
      <c r="AN101" s="159" t="str">
        <f t="shared" ca="1" si="50"/>
        <v/>
      </c>
      <c r="AO101" s="158" t="str">
        <f t="shared" si="51"/>
        <v/>
      </c>
      <c r="AP101" s="159" t="str">
        <f t="shared" si="52"/>
        <v/>
      </c>
      <c r="AQ101" s="158" t="str">
        <f t="shared" ca="1" si="53"/>
        <v/>
      </c>
      <c r="AR101" s="165" t="str">
        <f t="shared" si="54"/>
        <v/>
      </c>
      <c r="AS101" s="236" t="str">
        <f t="shared" si="55"/>
        <v/>
      </c>
      <c r="AT101" s="237" t="str">
        <f t="shared" ca="1" si="56"/>
        <v/>
      </c>
      <c r="AU101" s="165" t="str">
        <f t="shared" si="57"/>
        <v/>
      </c>
      <c r="AV101" s="231" t="str">
        <f t="shared" si="58"/>
        <v/>
      </c>
      <c r="AW101" s="68" t="str">
        <f t="shared" si="59"/>
        <v/>
      </c>
      <c r="AX101" s="69" t="str">
        <f t="shared" si="60"/>
        <v/>
      </c>
      <c r="AY101" s="69" t="str">
        <f t="shared" si="61"/>
        <v/>
      </c>
      <c r="AZ101" s="70" t="str">
        <f t="shared" ca="1" si="62"/>
        <v/>
      </c>
      <c r="BA101" s="71" t="str">
        <f t="shared" si="63"/>
        <v/>
      </c>
      <c r="BC101" s="87">
        <f t="shared" ca="1" si="64"/>
        <v>0</v>
      </c>
      <c r="BD101" s="88">
        <v>93</v>
      </c>
      <c r="BE101" s="31" t="str">
        <f t="shared" si="65"/>
        <v/>
      </c>
      <c r="BF101" s="32" t="str">
        <f t="shared" ca="1" si="66"/>
        <v/>
      </c>
      <c r="BG101" s="31" t="str">
        <f t="shared" si="67"/>
        <v/>
      </c>
      <c r="BH101" s="33" t="str">
        <f t="shared" si="68"/>
        <v/>
      </c>
      <c r="BI101" s="31" t="str">
        <f t="shared" ca="1" si="69"/>
        <v/>
      </c>
      <c r="BJ101" s="97" t="str">
        <f t="shared" ca="1" si="70"/>
        <v/>
      </c>
      <c r="BK101" s="98" t="str">
        <f t="shared" ca="1" si="71"/>
        <v/>
      </c>
    </row>
    <row r="102" spans="2:63" x14ac:dyDescent="0.25">
      <c r="B102" s="51">
        <v>94</v>
      </c>
      <c r="C102" s="52"/>
      <c r="D102" s="53"/>
      <c r="E102" s="37"/>
      <c r="F102" s="191"/>
      <c r="G102" s="132"/>
      <c r="H102" s="56"/>
      <c r="I102" s="54"/>
      <c r="J102" s="123"/>
      <c r="K102" s="55"/>
      <c r="L102" s="112"/>
      <c r="M102" s="127"/>
      <c r="N102" s="196"/>
      <c r="O102" s="132"/>
      <c r="P102" s="108"/>
      <c r="Q102" s="54"/>
      <c r="R102" s="123"/>
      <c r="S102" s="112"/>
      <c r="T102" s="115"/>
      <c r="U102" s="115"/>
      <c r="V102" s="196"/>
      <c r="W102" s="139"/>
      <c r="X102" s="145"/>
      <c r="Y102" s="148"/>
      <c r="Z102" s="166" t="str">
        <f t="shared" si="36"/>
        <v/>
      </c>
      <c r="AA102" s="167" t="str">
        <f t="shared" si="37"/>
        <v/>
      </c>
      <c r="AB102" s="168" t="str">
        <f t="shared" si="38"/>
        <v/>
      </c>
      <c r="AC102" s="169" t="str">
        <f t="shared" si="39"/>
        <v/>
      </c>
      <c r="AD102" s="170" t="str">
        <f t="shared" si="40"/>
        <v/>
      </c>
      <c r="AE102" s="169" t="str">
        <f t="shared" si="41"/>
        <v/>
      </c>
      <c r="AF102" s="169" t="str">
        <f t="shared" si="42"/>
        <v/>
      </c>
      <c r="AG102" s="171" t="str">
        <f t="shared" si="43"/>
        <v/>
      </c>
      <c r="AH102" s="168" t="str">
        <f t="shared" si="44"/>
        <v/>
      </c>
      <c r="AI102" s="169" t="str">
        <f t="shared" si="45"/>
        <v/>
      </c>
      <c r="AJ102" s="170" t="str">
        <f t="shared" si="46"/>
        <v/>
      </c>
      <c r="AK102" s="169" t="str">
        <f t="shared" si="47"/>
        <v/>
      </c>
      <c r="AL102" s="169" t="str">
        <f t="shared" si="48"/>
        <v/>
      </c>
      <c r="AM102" s="169" t="str">
        <f t="shared" si="49"/>
        <v/>
      </c>
      <c r="AN102" s="170" t="str">
        <f t="shared" ca="1" si="50"/>
        <v/>
      </c>
      <c r="AO102" s="169" t="str">
        <f t="shared" si="51"/>
        <v/>
      </c>
      <c r="AP102" s="170" t="str">
        <f t="shared" si="52"/>
        <v/>
      </c>
      <c r="AQ102" s="169" t="str">
        <f t="shared" ca="1" si="53"/>
        <v/>
      </c>
      <c r="AR102" s="172" t="str">
        <f t="shared" si="54"/>
        <v/>
      </c>
      <c r="AS102" s="238" t="str">
        <f t="shared" si="55"/>
        <v/>
      </c>
      <c r="AT102" s="239" t="str">
        <f t="shared" ca="1" si="56"/>
        <v/>
      </c>
      <c r="AU102" s="172" t="str">
        <f t="shared" si="57"/>
        <v/>
      </c>
      <c r="AV102" s="232" t="str">
        <f t="shared" si="58"/>
        <v/>
      </c>
      <c r="AW102" s="72" t="str">
        <f t="shared" si="59"/>
        <v/>
      </c>
      <c r="AX102" s="73" t="str">
        <f t="shared" si="60"/>
        <v/>
      </c>
      <c r="AY102" s="73" t="str">
        <f t="shared" si="61"/>
        <v/>
      </c>
      <c r="AZ102" s="74" t="str">
        <f t="shared" ca="1" si="62"/>
        <v/>
      </c>
      <c r="BA102" s="75" t="str">
        <f t="shared" si="63"/>
        <v/>
      </c>
      <c r="BC102" s="89">
        <f t="shared" ca="1" si="64"/>
        <v>0</v>
      </c>
      <c r="BD102" s="90">
        <v>94</v>
      </c>
      <c r="BE102" s="27" t="str">
        <f t="shared" si="65"/>
        <v/>
      </c>
      <c r="BF102" s="28" t="str">
        <f t="shared" ca="1" si="66"/>
        <v/>
      </c>
      <c r="BG102" s="27" t="str">
        <f t="shared" si="67"/>
        <v/>
      </c>
      <c r="BH102" s="29" t="str">
        <f t="shared" si="68"/>
        <v/>
      </c>
      <c r="BI102" s="27" t="str">
        <f t="shared" ca="1" si="69"/>
        <v/>
      </c>
      <c r="BJ102" s="99" t="str">
        <f t="shared" ca="1" si="70"/>
        <v/>
      </c>
      <c r="BK102" s="100" t="str">
        <f t="shared" ca="1" si="71"/>
        <v/>
      </c>
    </row>
    <row r="103" spans="2:63" x14ac:dyDescent="0.25">
      <c r="B103" s="51">
        <v>95</v>
      </c>
      <c r="C103" s="52"/>
      <c r="D103" s="53"/>
      <c r="E103" s="37"/>
      <c r="F103" s="191"/>
      <c r="G103" s="132"/>
      <c r="H103" s="56"/>
      <c r="I103" s="54"/>
      <c r="J103" s="123"/>
      <c r="K103" s="55"/>
      <c r="L103" s="112"/>
      <c r="M103" s="127"/>
      <c r="N103" s="196"/>
      <c r="O103" s="132"/>
      <c r="P103" s="108"/>
      <c r="Q103" s="54"/>
      <c r="R103" s="123"/>
      <c r="S103" s="112"/>
      <c r="T103" s="115"/>
      <c r="U103" s="115"/>
      <c r="V103" s="196"/>
      <c r="W103" s="139"/>
      <c r="X103" s="145"/>
      <c r="Y103" s="148"/>
      <c r="Z103" s="166" t="str">
        <f t="shared" si="36"/>
        <v/>
      </c>
      <c r="AA103" s="167" t="str">
        <f t="shared" si="37"/>
        <v/>
      </c>
      <c r="AB103" s="168" t="str">
        <f t="shared" si="38"/>
        <v/>
      </c>
      <c r="AC103" s="169" t="str">
        <f t="shared" si="39"/>
        <v/>
      </c>
      <c r="AD103" s="170" t="str">
        <f t="shared" si="40"/>
        <v/>
      </c>
      <c r="AE103" s="169" t="str">
        <f t="shared" si="41"/>
        <v/>
      </c>
      <c r="AF103" s="169" t="str">
        <f t="shared" si="42"/>
        <v/>
      </c>
      <c r="AG103" s="171" t="str">
        <f t="shared" si="43"/>
        <v/>
      </c>
      <c r="AH103" s="168" t="str">
        <f t="shared" si="44"/>
        <v/>
      </c>
      <c r="AI103" s="169" t="str">
        <f t="shared" si="45"/>
        <v/>
      </c>
      <c r="AJ103" s="170" t="str">
        <f t="shared" si="46"/>
        <v/>
      </c>
      <c r="AK103" s="169" t="str">
        <f t="shared" si="47"/>
        <v/>
      </c>
      <c r="AL103" s="169" t="str">
        <f t="shared" si="48"/>
        <v/>
      </c>
      <c r="AM103" s="169" t="str">
        <f t="shared" si="49"/>
        <v/>
      </c>
      <c r="AN103" s="170" t="str">
        <f t="shared" ca="1" si="50"/>
        <v/>
      </c>
      <c r="AO103" s="169" t="str">
        <f t="shared" si="51"/>
        <v/>
      </c>
      <c r="AP103" s="170" t="str">
        <f t="shared" si="52"/>
        <v/>
      </c>
      <c r="AQ103" s="169" t="str">
        <f t="shared" ca="1" si="53"/>
        <v/>
      </c>
      <c r="AR103" s="172" t="str">
        <f t="shared" si="54"/>
        <v/>
      </c>
      <c r="AS103" s="238" t="str">
        <f t="shared" si="55"/>
        <v/>
      </c>
      <c r="AT103" s="239" t="str">
        <f t="shared" ca="1" si="56"/>
        <v/>
      </c>
      <c r="AU103" s="172" t="str">
        <f t="shared" si="57"/>
        <v/>
      </c>
      <c r="AV103" s="232" t="str">
        <f t="shared" si="58"/>
        <v/>
      </c>
      <c r="AW103" s="72" t="str">
        <f t="shared" si="59"/>
        <v/>
      </c>
      <c r="AX103" s="73" t="str">
        <f t="shared" si="60"/>
        <v/>
      </c>
      <c r="AY103" s="73" t="str">
        <f t="shared" si="61"/>
        <v/>
      </c>
      <c r="AZ103" s="74" t="str">
        <f t="shared" ca="1" si="62"/>
        <v/>
      </c>
      <c r="BA103" s="75" t="str">
        <f t="shared" si="63"/>
        <v/>
      </c>
      <c r="BC103" s="89">
        <f t="shared" ca="1" si="64"/>
        <v>0</v>
      </c>
      <c r="BD103" s="90">
        <v>95</v>
      </c>
      <c r="BE103" s="27" t="str">
        <f t="shared" si="65"/>
        <v/>
      </c>
      <c r="BF103" s="28" t="str">
        <f t="shared" ca="1" si="66"/>
        <v/>
      </c>
      <c r="BG103" s="27" t="str">
        <f t="shared" si="67"/>
        <v/>
      </c>
      <c r="BH103" s="29" t="str">
        <f t="shared" si="68"/>
        <v/>
      </c>
      <c r="BI103" s="27" t="str">
        <f t="shared" ca="1" si="69"/>
        <v/>
      </c>
      <c r="BJ103" s="99" t="str">
        <f t="shared" ca="1" si="70"/>
        <v/>
      </c>
      <c r="BK103" s="100" t="str">
        <f t="shared" ca="1" si="71"/>
        <v/>
      </c>
    </row>
    <row r="104" spans="2:63" x14ac:dyDescent="0.25">
      <c r="B104" s="51">
        <v>96</v>
      </c>
      <c r="C104" s="52"/>
      <c r="D104" s="53"/>
      <c r="E104" s="37"/>
      <c r="F104" s="191"/>
      <c r="G104" s="132"/>
      <c r="H104" s="56"/>
      <c r="I104" s="54"/>
      <c r="J104" s="123"/>
      <c r="K104" s="55"/>
      <c r="L104" s="112"/>
      <c r="M104" s="127"/>
      <c r="N104" s="196"/>
      <c r="O104" s="132"/>
      <c r="P104" s="108"/>
      <c r="Q104" s="54"/>
      <c r="R104" s="123"/>
      <c r="S104" s="112"/>
      <c r="T104" s="115"/>
      <c r="U104" s="115"/>
      <c r="V104" s="196"/>
      <c r="W104" s="139"/>
      <c r="X104" s="145"/>
      <c r="Y104" s="148"/>
      <c r="Z104" s="166" t="str">
        <f t="shared" si="36"/>
        <v/>
      </c>
      <c r="AA104" s="167" t="str">
        <f t="shared" si="37"/>
        <v/>
      </c>
      <c r="AB104" s="168" t="str">
        <f t="shared" si="38"/>
        <v/>
      </c>
      <c r="AC104" s="169" t="str">
        <f t="shared" si="39"/>
        <v/>
      </c>
      <c r="AD104" s="170" t="str">
        <f t="shared" si="40"/>
        <v/>
      </c>
      <c r="AE104" s="169" t="str">
        <f t="shared" si="41"/>
        <v/>
      </c>
      <c r="AF104" s="169" t="str">
        <f t="shared" si="42"/>
        <v/>
      </c>
      <c r="AG104" s="171" t="str">
        <f t="shared" si="43"/>
        <v/>
      </c>
      <c r="AH104" s="168" t="str">
        <f t="shared" si="44"/>
        <v/>
      </c>
      <c r="AI104" s="169" t="str">
        <f t="shared" si="45"/>
        <v/>
      </c>
      <c r="AJ104" s="170" t="str">
        <f t="shared" si="46"/>
        <v/>
      </c>
      <c r="AK104" s="169" t="str">
        <f t="shared" si="47"/>
        <v/>
      </c>
      <c r="AL104" s="169" t="str">
        <f t="shared" si="48"/>
        <v/>
      </c>
      <c r="AM104" s="169" t="str">
        <f t="shared" si="49"/>
        <v/>
      </c>
      <c r="AN104" s="170" t="str">
        <f t="shared" ca="1" si="50"/>
        <v/>
      </c>
      <c r="AO104" s="169" t="str">
        <f t="shared" si="51"/>
        <v/>
      </c>
      <c r="AP104" s="170" t="str">
        <f t="shared" si="52"/>
        <v/>
      </c>
      <c r="AQ104" s="169" t="str">
        <f t="shared" ca="1" si="53"/>
        <v/>
      </c>
      <c r="AR104" s="172" t="str">
        <f t="shared" si="54"/>
        <v/>
      </c>
      <c r="AS104" s="238" t="str">
        <f t="shared" si="55"/>
        <v/>
      </c>
      <c r="AT104" s="239" t="str">
        <f t="shared" ca="1" si="56"/>
        <v/>
      </c>
      <c r="AU104" s="172" t="str">
        <f t="shared" si="57"/>
        <v/>
      </c>
      <c r="AV104" s="232" t="str">
        <f t="shared" si="58"/>
        <v/>
      </c>
      <c r="AW104" s="72" t="str">
        <f t="shared" si="59"/>
        <v/>
      </c>
      <c r="AX104" s="73" t="str">
        <f t="shared" si="60"/>
        <v/>
      </c>
      <c r="AY104" s="73" t="str">
        <f t="shared" si="61"/>
        <v/>
      </c>
      <c r="AZ104" s="74" t="str">
        <f t="shared" ca="1" si="62"/>
        <v/>
      </c>
      <c r="BA104" s="75" t="str">
        <f t="shared" si="63"/>
        <v/>
      </c>
      <c r="BC104" s="89">
        <f t="shared" ca="1" si="64"/>
        <v>0</v>
      </c>
      <c r="BD104" s="90">
        <v>96</v>
      </c>
      <c r="BE104" s="27" t="str">
        <f t="shared" si="65"/>
        <v/>
      </c>
      <c r="BF104" s="28" t="str">
        <f t="shared" ca="1" si="66"/>
        <v/>
      </c>
      <c r="BG104" s="27" t="str">
        <f t="shared" si="67"/>
        <v/>
      </c>
      <c r="BH104" s="29" t="str">
        <f t="shared" si="68"/>
        <v/>
      </c>
      <c r="BI104" s="27" t="str">
        <f t="shared" ca="1" si="69"/>
        <v/>
      </c>
      <c r="BJ104" s="99" t="str">
        <f t="shared" ca="1" si="70"/>
        <v/>
      </c>
      <c r="BK104" s="100" t="str">
        <f t="shared" ca="1" si="71"/>
        <v/>
      </c>
    </row>
    <row r="105" spans="2:63" x14ac:dyDescent="0.25">
      <c r="B105" s="46">
        <v>97</v>
      </c>
      <c r="C105" s="50"/>
      <c r="D105" s="47"/>
      <c r="E105" s="38"/>
      <c r="F105" s="190"/>
      <c r="G105" s="131"/>
      <c r="H105" s="49"/>
      <c r="I105" s="45"/>
      <c r="J105" s="122"/>
      <c r="K105" s="48"/>
      <c r="L105" s="111"/>
      <c r="M105" s="126"/>
      <c r="N105" s="195"/>
      <c r="O105" s="131"/>
      <c r="P105" s="107"/>
      <c r="Q105" s="45"/>
      <c r="R105" s="122"/>
      <c r="S105" s="111"/>
      <c r="T105" s="114"/>
      <c r="U105" s="114"/>
      <c r="V105" s="195"/>
      <c r="W105" s="138"/>
      <c r="X105" s="144"/>
      <c r="Y105" s="147"/>
      <c r="Z105" s="161" t="str">
        <f t="shared" si="36"/>
        <v/>
      </c>
      <c r="AA105" s="162" t="str">
        <f t="shared" si="37"/>
        <v/>
      </c>
      <c r="AB105" s="163" t="str">
        <f t="shared" si="38"/>
        <v/>
      </c>
      <c r="AC105" s="158" t="str">
        <f t="shared" si="39"/>
        <v/>
      </c>
      <c r="AD105" s="159" t="str">
        <f t="shared" si="40"/>
        <v/>
      </c>
      <c r="AE105" s="158" t="str">
        <f t="shared" si="41"/>
        <v/>
      </c>
      <c r="AF105" s="158" t="str">
        <f t="shared" si="42"/>
        <v/>
      </c>
      <c r="AG105" s="164" t="str">
        <f t="shared" si="43"/>
        <v/>
      </c>
      <c r="AH105" s="163" t="str">
        <f t="shared" si="44"/>
        <v/>
      </c>
      <c r="AI105" s="158" t="str">
        <f t="shared" si="45"/>
        <v/>
      </c>
      <c r="AJ105" s="159" t="str">
        <f t="shared" si="46"/>
        <v/>
      </c>
      <c r="AK105" s="158" t="str">
        <f t="shared" si="47"/>
        <v/>
      </c>
      <c r="AL105" s="158" t="str">
        <f t="shared" si="48"/>
        <v/>
      </c>
      <c r="AM105" s="158" t="str">
        <f t="shared" si="49"/>
        <v/>
      </c>
      <c r="AN105" s="159" t="str">
        <f t="shared" ca="1" si="50"/>
        <v/>
      </c>
      <c r="AO105" s="158" t="str">
        <f t="shared" si="51"/>
        <v/>
      </c>
      <c r="AP105" s="159" t="str">
        <f t="shared" si="52"/>
        <v/>
      </c>
      <c r="AQ105" s="158" t="str">
        <f t="shared" ca="1" si="53"/>
        <v/>
      </c>
      <c r="AR105" s="165" t="str">
        <f t="shared" si="54"/>
        <v/>
      </c>
      <c r="AS105" s="236" t="str">
        <f t="shared" si="55"/>
        <v/>
      </c>
      <c r="AT105" s="237" t="str">
        <f t="shared" ca="1" si="56"/>
        <v/>
      </c>
      <c r="AU105" s="165" t="str">
        <f t="shared" si="57"/>
        <v/>
      </c>
      <c r="AV105" s="231" t="str">
        <f t="shared" si="58"/>
        <v/>
      </c>
      <c r="AW105" s="68" t="str">
        <f t="shared" si="59"/>
        <v/>
      </c>
      <c r="AX105" s="69" t="str">
        <f t="shared" si="60"/>
        <v/>
      </c>
      <c r="AY105" s="69" t="str">
        <f t="shared" si="61"/>
        <v/>
      </c>
      <c r="AZ105" s="70" t="str">
        <f t="shared" ca="1" si="62"/>
        <v/>
      </c>
      <c r="BA105" s="71" t="str">
        <f t="shared" si="63"/>
        <v/>
      </c>
      <c r="BC105" s="87">
        <f t="shared" ca="1" si="64"/>
        <v>0</v>
      </c>
      <c r="BD105" s="88">
        <v>97</v>
      </c>
      <c r="BE105" s="31" t="str">
        <f t="shared" si="65"/>
        <v/>
      </c>
      <c r="BF105" s="32" t="str">
        <f t="shared" ca="1" si="66"/>
        <v/>
      </c>
      <c r="BG105" s="31" t="str">
        <f t="shared" si="67"/>
        <v/>
      </c>
      <c r="BH105" s="33" t="str">
        <f t="shared" si="68"/>
        <v/>
      </c>
      <c r="BI105" s="31" t="str">
        <f t="shared" ca="1" si="69"/>
        <v/>
      </c>
      <c r="BJ105" s="97" t="str">
        <f t="shared" ca="1" si="70"/>
        <v/>
      </c>
      <c r="BK105" s="98" t="str">
        <f t="shared" ca="1" si="71"/>
        <v/>
      </c>
    </row>
    <row r="106" spans="2:63" x14ac:dyDescent="0.25">
      <c r="B106" s="46">
        <v>98</v>
      </c>
      <c r="C106" s="50"/>
      <c r="D106" s="47"/>
      <c r="E106" s="38"/>
      <c r="F106" s="190"/>
      <c r="G106" s="131"/>
      <c r="H106" s="49"/>
      <c r="I106" s="45"/>
      <c r="J106" s="122"/>
      <c r="K106" s="48"/>
      <c r="L106" s="111"/>
      <c r="M106" s="126"/>
      <c r="N106" s="195"/>
      <c r="O106" s="131"/>
      <c r="P106" s="107"/>
      <c r="Q106" s="45"/>
      <c r="R106" s="122"/>
      <c r="S106" s="111"/>
      <c r="T106" s="114"/>
      <c r="U106" s="114"/>
      <c r="V106" s="195"/>
      <c r="W106" s="138"/>
      <c r="X106" s="144"/>
      <c r="Y106" s="147"/>
      <c r="Z106" s="161" t="str">
        <f t="shared" si="36"/>
        <v/>
      </c>
      <c r="AA106" s="162" t="str">
        <f t="shared" si="37"/>
        <v/>
      </c>
      <c r="AB106" s="163" t="str">
        <f t="shared" si="38"/>
        <v/>
      </c>
      <c r="AC106" s="158" t="str">
        <f t="shared" si="39"/>
        <v/>
      </c>
      <c r="AD106" s="159" t="str">
        <f t="shared" si="40"/>
        <v/>
      </c>
      <c r="AE106" s="158" t="str">
        <f t="shared" si="41"/>
        <v/>
      </c>
      <c r="AF106" s="158" t="str">
        <f t="shared" si="42"/>
        <v/>
      </c>
      <c r="AG106" s="164" t="str">
        <f t="shared" si="43"/>
        <v/>
      </c>
      <c r="AH106" s="163" t="str">
        <f t="shared" si="44"/>
        <v/>
      </c>
      <c r="AI106" s="158" t="str">
        <f t="shared" si="45"/>
        <v/>
      </c>
      <c r="AJ106" s="159" t="str">
        <f t="shared" si="46"/>
        <v/>
      </c>
      <c r="AK106" s="158" t="str">
        <f t="shared" si="47"/>
        <v/>
      </c>
      <c r="AL106" s="158" t="str">
        <f t="shared" si="48"/>
        <v/>
      </c>
      <c r="AM106" s="158" t="str">
        <f t="shared" si="49"/>
        <v/>
      </c>
      <c r="AN106" s="159" t="str">
        <f t="shared" ca="1" si="50"/>
        <v/>
      </c>
      <c r="AO106" s="158" t="str">
        <f t="shared" si="51"/>
        <v/>
      </c>
      <c r="AP106" s="159" t="str">
        <f t="shared" si="52"/>
        <v/>
      </c>
      <c r="AQ106" s="158" t="str">
        <f t="shared" ca="1" si="53"/>
        <v/>
      </c>
      <c r="AR106" s="165" t="str">
        <f t="shared" si="54"/>
        <v/>
      </c>
      <c r="AS106" s="236" t="str">
        <f t="shared" si="55"/>
        <v/>
      </c>
      <c r="AT106" s="237" t="str">
        <f t="shared" ca="1" si="56"/>
        <v/>
      </c>
      <c r="AU106" s="165" t="str">
        <f t="shared" si="57"/>
        <v/>
      </c>
      <c r="AV106" s="231" t="str">
        <f t="shared" si="58"/>
        <v/>
      </c>
      <c r="AW106" s="68" t="str">
        <f t="shared" si="59"/>
        <v/>
      </c>
      <c r="AX106" s="69" t="str">
        <f t="shared" si="60"/>
        <v/>
      </c>
      <c r="AY106" s="69" t="str">
        <f t="shared" si="61"/>
        <v/>
      </c>
      <c r="AZ106" s="70" t="str">
        <f t="shared" ca="1" si="62"/>
        <v/>
      </c>
      <c r="BA106" s="71" t="str">
        <f t="shared" si="63"/>
        <v/>
      </c>
      <c r="BC106" s="87">
        <f t="shared" ca="1" si="64"/>
        <v>0</v>
      </c>
      <c r="BD106" s="88">
        <v>98</v>
      </c>
      <c r="BE106" s="31" t="str">
        <f t="shared" si="65"/>
        <v/>
      </c>
      <c r="BF106" s="32" t="str">
        <f t="shared" ca="1" si="66"/>
        <v/>
      </c>
      <c r="BG106" s="31" t="str">
        <f t="shared" si="67"/>
        <v/>
      </c>
      <c r="BH106" s="33" t="str">
        <f t="shared" si="68"/>
        <v/>
      </c>
      <c r="BI106" s="31" t="str">
        <f t="shared" ca="1" si="69"/>
        <v/>
      </c>
      <c r="BJ106" s="97" t="str">
        <f t="shared" ca="1" si="70"/>
        <v/>
      </c>
      <c r="BK106" s="98" t="str">
        <f t="shared" ca="1" si="71"/>
        <v/>
      </c>
    </row>
    <row r="107" spans="2:63" x14ac:dyDescent="0.25">
      <c r="B107" s="46">
        <v>99</v>
      </c>
      <c r="C107" s="50"/>
      <c r="D107" s="47"/>
      <c r="E107" s="38"/>
      <c r="F107" s="190"/>
      <c r="G107" s="131"/>
      <c r="H107" s="49"/>
      <c r="I107" s="45"/>
      <c r="J107" s="122"/>
      <c r="K107" s="48"/>
      <c r="L107" s="111"/>
      <c r="M107" s="126"/>
      <c r="N107" s="195"/>
      <c r="O107" s="131"/>
      <c r="P107" s="107"/>
      <c r="Q107" s="45"/>
      <c r="R107" s="122"/>
      <c r="S107" s="111"/>
      <c r="T107" s="114"/>
      <c r="U107" s="114"/>
      <c r="V107" s="195"/>
      <c r="W107" s="138"/>
      <c r="X107" s="144"/>
      <c r="Y107" s="147"/>
      <c r="Z107" s="161" t="str">
        <f t="shared" si="36"/>
        <v/>
      </c>
      <c r="AA107" s="162" t="str">
        <f t="shared" si="37"/>
        <v/>
      </c>
      <c r="AB107" s="163" t="str">
        <f t="shared" si="38"/>
        <v/>
      </c>
      <c r="AC107" s="158" t="str">
        <f t="shared" si="39"/>
        <v/>
      </c>
      <c r="AD107" s="159" t="str">
        <f t="shared" si="40"/>
        <v/>
      </c>
      <c r="AE107" s="158" t="str">
        <f t="shared" si="41"/>
        <v/>
      </c>
      <c r="AF107" s="158" t="str">
        <f t="shared" si="42"/>
        <v/>
      </c>
      <c r="AG107" s="164" t="str">
        <f t="shared" si="43"/>
        <v/>
      </c>
      <c r="AH107" s="163" t="str">
        <f t="shared" si="44"/>
        <v/>
      </c>
      <c r="AI107" s="158" t="str">
        <f t="shared" si="45"/>
        <v/>
      </c>
      <c r="AJ107" s="159" t="str">
        <f t="shared" si="46"/>
        <v/>
      </c>
      <c r="AK107" s="158" t="str">
        <f t="shared" si="47"/>
        <v/>
      </c>
      <c r="AL107" s="158" t="str">
        <f t="shared" si="48"/>
        <v/>
      </c>
      <c r="AM107" s="158" t="str">
        <f t="shared" si="49"/>
        <v/>
      </c>
      <c r="AN107" s="159" t="str">
        <f t="shared" ca="1" si="50"/>
        <v/>
      </c>
      <c r="AO107" s="158" t="str">
        <f t="shared" si="51"/>
        <v/>
      </c>
      <c r="AP107" s="159" t="str">
        <f t="shared" si="52"/>
        <v/>
      </c>
      <c r="AQ107" s="158" t="str">
        <f t="shared" ca="1" si="53"/>
        <v/>
      </c>
      <c r="AR107" s="165" t="str">
        <f t="shared" si="54"/>
        <v/>
      </c>
      <c r="AS107" s="236" t="str">
        <f t="shared" si="55"/>
        <v/>
      </c>
      <c r="AT107" s="237" t="str">
        <f t="shared" ca="1" si="56"/>
        <v/>
      </c>
      <c r="AU107" s="165" t="str">
        <f t="shared" si="57"/>
        <v/>
      </c>
      <c r="AV107" s="231" t="str">
        <f t="shared" si="58"/>
        <v/>
      </c>
      <c r="AW107" s="68" t="str">
        <f t="shared" si="59"/>
        <v/>
      </c>
      <c r="AX107" s="69" t="str">
        <f t="shared" si="60"/>
        <v/>
      </c>
      <c r="AY107" s="69" t="str">
        <f t="shared" si="61"/>
        <v/>
      </c>
      <c r="AZ107" s="70" t="str">
        <f t="shared" ca="1" si="62"/>
        <v/>
      </c>
      <c r="BA107" s="71" t="str">
        <f t="shared" si="63"/>
        <v/>
      </c>
      <c r="BC107" s="87">
        <f t="shared" ca="1" si="64"/>
        <v>0</v>
      </c>
      <c r="BD107" s="88">
        <v>99</v>
      </c>
      <c r="BE107" s="31" t="str">
        <f t="shared" si="65"/>
        <v/>
      </c>
      <c r="BF107" s="32" t="str">
        <f t="shared" ca="1" si="66"/>
        <v/>
      </c>
      <c r="BG107" s="31" t="str">
        <f t="shared" si="67"/>
        <v/>
      </c>
      <c r="BH107" s="33" t="str">
        <f t="shared" si="68"/>
        <v/>
      </c>
      <c r="BI107" s="31" t="str">
        <f t="shared" ca="1" si="69"/>
        <v/>
      </c>
      <c r="BJ107" s="97" t="str">
        <f t="shared" ca="1" si="70"/>
        <v/>
      </c>
      <c r="BK107" s="98" t="str">
        <f t="shared" ca="1" si="71"/>
        <v/>
      </c>
    </row>
    <row r="108" spans="2:63" ht="13.8" thickBot="1" x14ac:dyDescent="0.3">
      <c r="B108" s="57">
        <v>100</v>
      </c>
      <c r="C108" s="58"/>
      <c r="D108" s="59"/>
      <c r="E108" s="60"/>
      <c r="F108" s="192"/>
      <c r="G108" s="133"/>
      <c r="H108" s="63"/>
      <c r="I108" s="61"/>
      <c r="J108" s="124"/>
      <c r="K108" s="62"/>
      <c r="L108" s="113"/>
      <c r="M108" s="128"/>
      <c r="N108" s="197"/>
      <c r="O108" s="133"/>
      <c r="P108" s="109"/>
      <c r="Q108" s="61"/>
      <c r="R108" s="124"/>
      <c r="S108" s="113"/>
      <c r="T108" s="116"/>
      <c r="U108" s="116"/>
      <c r="V108" s="197"/>
      <c r="W108" s="140"/>
      <c r="X108" s="146"/>
      <c r="Y108" s="149"/>
      <c r="Z108" s="173" t="str">
        <f t="shared" si="36"/>
        <v/>
      </c>
      <c r="AA108" s="174" t="str">
        <f t="shared" si="37"/>
        <v/>
      </c>
      <c r="AB108" s="175" t="str">
        <f t="shared" si="38"/>
        <v/>
      </c>
      <c r="AC108" s="176" t="str">
        <f t="shared" si="39"/>
        <v/>
      </c>
      <c r="AD108" s="177" t="str">
        <f t="shared" si="40"/>
        <v/>
      </c>
      <c r="AE108" s="176" t="str">
        <f t="shared" si="41"/>
        <v/>
      </c>
      <c r="AF108" s="176" t="str">
        <f t="shared" si="42"/>
        <v/>
      </c>
      <c r="AG108" s="178" t="str">
        <f t="shared" si="43"/>
        <v/>
      </c>
      <c r="AH108" s="175" t="str">
        <f t="shared" si="44"/>
        <v/>
      </c>
      <c r="AI108" s="176" t="str">
        <f t="shared" si="45"/>
        <v/>
      </c>
      <c r="AJ108" s="177" t="str">
        <f t="shared" si="46"/>
        <v/>
      </c>
      <c r="AK108" s="176" t="str">
        <f t="shared" si="47"/>
        <v/>
      </c>
      <c r="AL108" s="176" t="str">
        <f t="shared" si="48"/>
        <v/>
      </c>
      <c r="AM108" s="176" t="str">
        <f t="shared" si="49"/>
        <v/>
      </c>
      <c r="AN108" s="177" t="str">
        <f t="shared" ca="1" si="50"/>
        <v/>
      </c>
      <c r="AO108" s="176" t="str">
        <f t="shared" si="51"/>
        <v/>
      </c>
      <c r="AP108" s="177" t="str">
        <f t="shared" si="52"/>
        <v/>
      </c>
      <c r="AQ108" s="176" t="str">
        <f t="shared" ca="1" si="53"/>
        <v/>
      </c>
      <c r="AR108" s="179" t="str">
        <f t="shared" si="54"/>
        <v/>
      </c>
      <c r="AS108" s="240" t="str">
        <f t="shared" si="55"/>
        <v/>
      </c>
      <c r="AT108" s="241" t="str">
        <f t="shared" ca="1" si="56"/>
        <v/>
      </c>
      <c r="AU108" s="179" t="str">
        <f t="shared" si="57"/>
        <v/>
      </c>
      <c r="AV108" s="233" t="str">
        <f t="shared" si="58"/>
        <v/>
      </c>
      <c r="AW108" s="76" t="str">
        <f t="shared" si="59"/>
        <v/>
      </c>
      <c r="AX108" s="77" t="str">
        <f t="shared" si="60"/>
        <v/>
      </c>
      <c r="AY108" s="77" t="str">
        <f t="shared" si="61"/>
        <v/>
      </c>
      <c r="AZ108" s="78" t="str">
        <f t="shared" ca="1" si="62"/>
        <v/>
      </c>
      <c r="BA108" s="79" t="str">
        <f t="shared" si="63"/>
        <v/>
      </c>
      <c r="BC108" s="91">
        <f t="shared" ca="1" si="64"/>
        <v>0</v>
      </c>
      <c r="BD108" s="92">
        <v>100</v>
      </c>
      <c r="BE108" s="34" t="str">
        <f t="shared" si="65"/>
        <v/>
      </c>
      <c r="BF108" s="35" t="str">
        <f t="shared" ca="1" si="66"/>
        <v/>
      </c>
      <c r="BG108" s="34" t="str">
        <f t="shared" si="67"/>
        <v/>
      </c>
      <c r="BH108" s="36" t="str">
        <f t="shared" si="68"/>
        <v/>
      </c>
      <c r="BI108" s="34" t="str">
        <f t="shared" ca="1" si="69"/>
        <v/>
      </c>
      <c r="BJ108" s="101" t="str">
        <f t="shared" ca="1" si="70"/>
        <v/>
      </c>
      <c r="BK108" s="102" t="str">
        <f t="shared" ca="1" si="71"/>
        <v/>
      </c>
    </row>
    <row r="109" spans="2:63" x14ac:dyDescent="0.25">
      <c r="B109" s="11"/>
      <c r="C109" s="11"/>
      <c r="D109" s="11"/>
      <c r="E109" s="13"/>
      <c r="F109" s="13"/>
      <c r="G109" s="14"/>
      <c r="H109" s="13"/>
      <c r="I109" s="14"/>
      <c r="J109" s="125"/>
      <c r="K109" s="15"/>
      <c r="L109" s="15"/>
      <c r="M109" s="15"/>
      <c r="N109" s="15"/>
      <c r="O109" s="14"/>
      <c r="P109" s="13"/>
      <c r="Q109" s="14"/>
      <c r="R109" s="125"/>
      <c r="S109" s="15"/>
      <c r="T109" s="15"/>
      <c r="U109" s="15"/>
      <c r="V109" s="15"/>
      <c r="W109" s="15"/>
      <c r="X109" s="15"/>
      <c r="Y109" s="13"/>
      <c r="Z109" s="11"/>
      <c r="AA109" s="16"/>
      <c r="AB109" s="118"/>
      <c r="AC109" s="17"/>
      <c r="AD109" s="19"/>
      <c r="AE109" s="17"/>
      <c r="AF109" s="17"/>
      <c r="AG109" s="18"/>
      <c r="AH109" s="118"/>
      <c r="AI109" s="17"/>
      <c r="AJ109" s="19"/>
      <c r="AK109" s="17"/>
      <c r="AL109" s="17"/>
      <c r="AM109" s="17"/>
      <c r="AN109" s="16"/>
      <c r="AO109" s="17"/>
      <c r="AP109" s="17"/>
      <c r="AQ109" s="19"/>
      <c r="AR109" s="83"/>
      <c r="AS109" s="84"/>
      <c r="AT109" s="19"/>
      <c r="AU109" s="83"/>
      <c r="AV109" s="17"/>
      <c r="AW109" s="20"/>
      <c r="AX109" s="21"/>
      <c r="AY109" s="21"/>
      <c r="AZ109" s="22"/>
      <c r="BA109" s="22"/>
      <c r="BB109" s="23"/>
      <c r="BC109" s="23"/>
      <c r="BD109" s="23"/>
      <c r="BE109" s="25"/>
      <c r="BF109" s="25"/>
      <c r="BG109" s="25"/>
      <c r="BH109" s="25"/>
      <c r="BI109" s="26"/>
      <c r="BJ109" s="24"/>
      <c r="BK109" s="25"/>
    </row>
    <row r="110" spans="2:63" x14ac:dyDescent="0.25">
      <c r="B110" s="11"/>
      <c r="C110" s="11"/>
      <c r="D110" s="11"/>
      <c r="E110" s="13"/>
      <c r="F110" s="13"/>
      <c r="G110" s="14"/>
      <c r="H110" s="13"/>
      <c r="I110" s="14"/>
      <c r="J110" s="125"/>
      <c r="K110" s="15"/>
      <c r="L110" s="15"/>
      <c r="M110" s="15"/>
      <c r="N110" s="15"/>
      <c r="O110" s="14"/>
      <c r="P110" s="13"/>
      <c r="Q110" s="14"/>
      <c r="R110" s="125"/>
      <c r="S110" s="15"/>
      <c r="T110" s="15"/>
      <c r="U110" s="15"/>
      <c r="V110" s="15"/>
      <c r="W110" s="15"/>
      <c r="X110" s="15"/>
      <c r="Y110" s="13"/>
      <c r="Z110" s="11"/>
      <c r="AA110" s="16"/>
      <c r="AB110" s="118"/>
      <c r="AC110" s="17"/>
      <c r="AD110" s="19"/>
      <c r="AE110" s="17"/>
      <c r="AF110" s="17"/>
      <c r="AG110" s="18"/>
      <c r="AH110" s="118"/>
      <c r="AI110" s="17"/>
      <c r="AJ110" s="19"/>
      <c r="AK110" s="17"/>
      <c r="AL110" s="17"/>
      <c r="AM110" s="17"/>
      <c r="AN110" s="16"/>
      <c r="AO110" s="17"/>
      <c r="AP110" s="17"/>
      <c r="AQ110" s="19"/>
      <c r="AR110" s="83"/>
      <c r="AS110" s="84"/>
      <c r="AT110" s="19"/>
      <c r="AU110" s="83"/>
      <c r="AV110" s="17"/>
      <c r="AW110" s="20"/>
      <c r="AX110" s="21"/>
      <c r="AY110" s="21"/>
      <c r="AZ110" s="22"/>
      <c r="BA110" s="22"/>
      <c r="BB110" s="23"/>
      <c r="BC110" s="23"/>
      <c r="BD110" s="23"/>
      <c r="BE110" s="25"/>
      <c r="BF110" s="25"/>
      <c r="BG110" s="25"/>
      <c r="BH110" s="25"/>
      <c r="BI110" s="26"/>
      <c r="BJ110" s="24"/>
      <c r="BK110" s="12" t="s">
        <v>10</v>
      </c>
    </row>
  </sheetData>
  <sheetProtection sheet="1" formatCells="0" formatColumns="0" formatRows="0" insertColumns="0" insertRows="0" insertHyperlinks="0" sort="0" autoFilter="0"/>
  <mergeCells count="40">
    <mergeCell ref="P2:W2"/>
    <mergeCell ref="J3:J4"/>
    <mergeCell ref="K3:M3"/>
    <mergeCell ref="H3:H4"/>
    <mergeCell ref="I3:I4"/>
    <mergeCell ref="O3:O4"/>
    <mergeCell ref="Q3:Q4"/>
    <mergeCell ref="P3:P4"/>
    <mergeCell ref="R3:R4"/>
    <mergeCell ref="S3:U3"/>
    <mergeCell ref="W3:W4"/>
    <mergeCell ref="V3:V4"/>
    <mergeCell ref="B2:D4"/>
    <mergeCell ref="F2:F4"/>
    <mergeCell ref="N3:N4"/>
    <mergeCell ref="E2:E4"/>
    <mergeCell ref="G2:G4"/>
    <mergeCell ref="H2:O2"/>
    <mergeCell ref="X2:X4"/>
    <mergeCell ref="AA2:AM2"/>
    <mergeCell ref="AA3:AE3"/>
    <mergeCell ref="AF3:AF4"/>
    <mergeCell ref="AG3:AK3"/>
    <mergeCell ref="AM3:AM4"/>
    <mergeCell ref="Y2:Y4"/>
    <mergeCell ref="AL3:AL4"/>
    <mergeCell ref="BJ2:BK2"/>
    <mergeCell ref="AW2:BA2"/>
    <mergeCell ref="Z3:Z4"/>
    <mergeCell ref="AX3:AX4"/>
    <mergeCell ref="BJ3:BJ4"/>
    <mergeCell ref="BK3:BK4"/>
    <mergeCell ref="BA3:BA4"/>
    <mergeCell ref="AW3:AW4"/>
    <mergeCell ref="AT3:AV3"/>
    <mergeCell ref="AZ3:AZ4"/>
    <mergeCell ref="AY3:AY4"/>
    <mergeCell ref="AN2:AS2"/>
    <mergeCell ref="AN3:AP3"/>
    <mergeCell ref="AQ3:AS3"/>
  </mergeCells>
  <phoneticPr fontId="1" type="noConversion"/>
  <dataValidations count="1">
    <dataValidation type="list" allowBlank="1" showInputMessage="1" showErrorMessage="1" sqref="X9:X108">
      <formula1>$X$5:$X$8</formula1>
    </dataValidation>
  </dataValidations>
  <printOptions horizontalCentered="1"/>
  <pageMargins left="0.3" right="0.3" top="1.1000000000000001" bottom="0.5" header="0.3" footer="0.2"/>
  <pageSetup fitToHeight="0" orientation="landscape" errors="dash" r:id="rId1"/>
  <headerFooter scaleWithDoc="0">
    <oddHeader>&amp;L&amp;G&amp;R&amp;G</oddHeader>
    <oddFooter>&amp;L&amp;11&amp;K000000Printed at &amp;T on &amp;D&amp;R&amp;11&amp;K000000Page &amp;P of &amp;N</oddFooter>
    <firstHeader>&amp;L&amp;G&amp;R&amp;G</firstHeader>
    <firstFooter>&amp;L&amp;11Printed at &amp;T on &amp;D&amp;R&amp;11Page &amp;P of &amp;N</first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Battery Buggy B, 2018</vt:lpstr>
      <vt:lpstr>'Battery Buggy B, 2018'!Print_Area</vt:lpstr>
      <vt:lpstr>'Battery Buggy B, 2018'!Print_Titles</vt:lpstr>
    </vt:vector>
  </TitlesOfParts>
  <Company>California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Hung</dc:creator>
  <cp:lastModifiedBy>Art</cp:lastModifiedBy>
  <cp:lastPrinted>2017-10-09T00:14:20Z</cp:lastPrinted>
  <dcterms:created xsi:type="dcterms:W3CDTF">2008-03-01T17:19:58Z</dcterms:created>
  <dcterms:modified xsi:type="dcterms:W3CDTF">2018-01-06T21:04:40Z</dcterms:modified>
</cp:coreProperties>
</file>